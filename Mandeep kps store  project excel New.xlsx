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smadh\OneDrive\Desktop\"/>
    </mc:Choice>
  </mc:AlternateContent>
  <xr:revisionPtr revIDLastSave="0" documentId="8_{E376D885-331B-4E87-B5D5-4A5BC710CFC7}" xr6:coauthVersionLast="47" xr6:coauthVersionMax="47" xr10:uidLastSave="{00000000-0000-0000-0000-000000000000}"/>
  <bookViews>
    <workbookView xWindow="-108" yWindow="-108" windowWidth="23256" windowHeight="12456" firstSheet="7" activeTab="10" xr2:uid="{00000000-000D-0000-FFFF-FFFF00000000}"/>
  </bookViews>
  <sheets>
    <sheet name="kps store data" sheetId="1" r:id="rId1"/>
    <sheet name="T.s(month.and prd.cat)" sheetId="5" r:id="rId2"/>
    <sheet name="men vs women" sheetId="4" r:id="rId3"/>
    <sheet name="order vs sales" sheetId="2" r:id="rId4"/>
    <sheet name="Age and gender" sheetId="6" r:id="rId5"/>
    <sheet name="sales trends over months" sheetId="7" r:id="rId6"/>
    <sheet name="del.days&amp; cust.rating" sheetId="8" r:id="rId7"/>
    <sheet name="top 5 prod" sheetId="9" r:id="rId8"/>
    <sheet name="delivery  days vs rating" sheetId="10" r:id="rId9"/>
    <sheet name="city &amp; products" sheetId="13" r:id="rId10"/>
    <sheet name="annual report 2024" sheetId="3" r:id="rId11"/>
  </sheets>
  <definedNames>
    <definedName name="_xlnm._FilterDatabase" localSheetId="0" hidden="1">'kps store data'!$B$3:$S$1003</definedName>
    <definedName name="Slicer_Gender">#N/A</definedName>
    <definedName name="Slicer_Order_ID">#N/A</definedName>
    <definedName name="Slicer_Product_Category">#N/A</definedName>
    <definedName name="Slicer_Region">#N/A</definedName>
  </definedNames>
  <calcPr calcId="191028"/>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72" i="1" l="1"/>
  <c r="D845" i="1"/>
  <c r="D986" i="1"/>
  <c r="D809" i="1"/>
  <c r="D858" i="1"/>
  <c r="D286" i="1"/>
  <c r="D333" i="1"/>
  <c r="D932" i="1"/>
  <c r="D823" i="1"/>
  <c r="D775" i="1"/>
  <c r="D155" i="1"/>
  <c r="D334" i="1"/>
  <c r="D278" i="1"/>
  <c r="D648" i="1"/>
  <c r="D129" i="1"/>
  <c r="D233" i="1"/>
  <c r="D121" i="1"/>
  <c r="D366" i="1"/>
  <c r="D73" i="1"/>
  <c r="D723" i="1"/>
  <c r="D574" i="1"/>
  <c r="D306" i="1"/>
  <c r="D335" i="1"/>
  <c r="D76" i="1"/>
  <c r="D156" i="1"/>
  <c r="D824" i="1"/>
  <c r="D982" i="1"/>
  <c r="D37" i="1"/>
  <c r="D326" i="1"/>
  <c r="D320" i="1"/>
  <c r="D812" i="1"/>
  <c r="D504" i="1"/>
  <c r="D975" i="1"/>
  <c r="D758" i="1"/>
  <c r="D222" i="1"/>
  <c r="D682" i="1"/>
  <c r="D875" i="1"/>
  <c r="D506" i="1"/>
  <c r="D5" i="1"/>
  <c r="D814" i="1"/>
  <c r="D581" i="1"/>
  <c r="D588" i="1"/>
  <c r="D175" i="1"/>
  <c r="D724" i="1"/>
  <c r="D439" i="1"/>
  <c r="D545" i="1"/>
  <c r="D564" i="1"/>
  <c r="D354" i="1"/>
  <c r="D559" i="1"/>
  <c r="D919" i="1"/>
  <c r="D240" i="1"/>
  <c r="D346" i="1"/>
  <c r="D230" i="1"/>
  <c r="D104" i="1"/>
  <c r="D700" i="1"/>
  <c r="D4" i="1"/>
  <c r="D965" i="1"/>
  <c r="D547" i="1"/>
  <c r="D38" i="1"/>
  <c r="D782" i="1"/>
  <c r="D990" i="1"/>
  <c r="D512" i="1"/>
  <c r="D846" i="1"/>
  <c r="D164" i="1"/>
  <c r="D92" i="1"/>
  <c r="D440" i="1"/>
  <c r="D920" i="1"/>
  <c r="D19" i="1"/>
  <c r="D402" i="1"/>
  <c r="D44" i="1"/>
  <c r="D216" i="1"/>
  <c r="D820" i="1"/>
  <c r="D294" i="1"/>
  <c r="D958" i="1"/>
  <c r="D905" i="1"/>
  <c r="D321" i="1"/>
  <c r="D336" i="1"/>
  <c r="D759" i="1"/>
  <c r="D295" i="1"/>
  <c r="D355" i="1"/>
  <c r="D234" i="1"/>
  <c r="D730" i="1"/>
  <c r="D178" i="1"/>
  <c r="D592" i="1"/>
  <c r="D499" i="1"/>
  <c r="D474" i="1"/>
  <c r="D513" i="1"/>
  <c r="D105" i="1"/>
  <c r="D885" i="1"/>
  <c r="D688" i="1"/>
  <c r="D6" i="1"/>
  <c r="D209" i="1"/>
  <c r="D610" i="1"/>
  <c r="D67" i="1"/>
  <c r="D7" i="1"/>
  <c r="D575" i="1"/>
  <c r="D833" i="1"/>
  <c r="D427" i="1"/>
  <c r="D217" i="1"/>
  <c r="D203" i="1"/>
  <c r="D54" i="1"/>
  <c r="D409" i="1"/>
  <c r="D548" i="1"/>
  <c r="D87" i="1"/>
  <c r="D798" i="1"/>
  <c r="D457" i="1"/>
  <c r="D810" i="1"/>
  <c r="D821" i="1"/>
  <c r="D582" i="1"/>
  <c r="D876" i="1"/>
  <c r="D39" i="1"/>
  <c r="D190" i="1"/>
  <c r="D157" i="1"/>
  <c r="D779" i="1"/>
  <c r="D668" i="1"/>
  <c r="D303" i="1"/>
  <c r="D88" i="1"/>
  <c r="D55" i="1"/>
  <c r="D629" i="1"/>
  <c r="D101" i="1"/>
  <c r="D347" i="1"/>
  <c r="D296" i="1"/>
  <c r="D493" i="1"/>
  <c r="D264" i="1"/>
  <c r="D868" i="1"/>
  <c r="D972" i="1"/>
  <c r="D945" i="1"/>
  <c r="D946" i="1"/>
  <c r="D102" i="1"/>
  <c r="D213" i="1"/>
  <c r="D630" i="1"/>
  <c r="D605" i="1"/>
  <c r="D403" i="1"/>
  <c r="D210" i="1"/>
  <c r="D643" i="1"/>
  <c r="D145" i="1"/>
  <c r="D94" i="1"/>
  <c r="D249" i="1"/>
  <c r="D414" i="1"/>
  <c r="D593" i="1"/>
  <c r="D727" i="1"/>
  <c r="D204" i="1"/>
  <c r="D218" i="1"/>
  <c r="D862" i="1"/>
  <c r="D954" i="1"/>
  <c r="D191" i="1"/>
  <c r="D136" i="1"/>
  <c r="D671" i="1"/>
  <c r="D428" i="1"/>
  <c r="D20" i="1"/>
  <c r="D599" i="1"/>
  <c r="D799" i="1"/>
  <c r="D764" i="1"/>
  <c r="D939" i="1"/>
  <c r="D211" i="1"/>
  <c r="D569" i="1"/>
  <c r="D528" i="1"/>
  <c r="D560" i="1"/>
  <c r="D378" i="1"/>
  <c r="D765" i="1"/>
  <c r="D676" i="1"/>
  <c r="D514" i="1"/>
  <c r="D379" i="1"/>
  <c r="D689" i="1"/>
  <c r="D77" i="1"/>
  <c r="D265" i="1"/>
  <c r="D390" i="1"/>
  <c r="D916" i="1"/>
  <c r="D322" i="1"/>
  <c r="D98" i="1"/>
  <c r="D803" i="1"/>
  <c r="D146" i="1"/>
  <c r="D847" i="1"/>
  <c r="D631" i="1"/>
  <c r="D679" i="1"/>
  <c r="D701" i="1"/>
  <c r="D750" i="1"/>
  <c r="D825" i="1"/>
  <c r="D147" i="1"/>
  <c r="D141" i="1"/>
  <c r="D709" i="1"/>
  <c r="D524" i="1"/>
  <c r="D8" i="1"/>
  <c r="D600" i="1"/>
  <c r="D698" i="1"/>
  <c r="D783" i="1"/>
  <c r="D680" i="1"/>
  <c r="D148" i="1"/>
  <c r="D40" i="1"/>
  <c r="D443" i="1"/>
  <c r="D655" i="1"/>
  <c r="D45" i="1"/>
  <c r="D461" i="1"/>
  <c r="D444" i="1"/>
  <c r="D837" i="1"/>
  <c r="D617" i="1"/>
  <c r="D507" i="1"/>
  <c r="D214" i="1"/>
  <c r="D529" i="1"/>
  <c r="D869" i="1"/>
  <c r="D410" i="1"/>
  <c r="D877" i="1"/>
  <c r="D838" i="1"/>
  <c r="D266" i="1"/>
  <c r="D26" i="1"/>
  <c r="D106" i="1"/>
  <c r="D737" i="1"/>
  <c r="D906" i="1"/>
  <c r="D549" i="1"/>
  <c r="D537" i="1"/>
  <c r="D257" i="1"/>
  <c r="D669" i="1"/>
  <c r="D21" i="1"/>
  <c r="D356" i="1"/>
  <c r="D116" i="1"/>
  <c r="D660" i="1"/>
  <c r="D878" i="1"/>
  <c r="D710" i="1"/>
  <c r="D685" i="1"/>
  <c r="D279" i="1"/>
  <c r="D368" i="1"/>
  <c r="D508" i="1"/>
  <c r="D618" i="1"/>
  <c r="D788" i="1"/>
  <c r="D341" i="1"/>
  <c r="D672" i="1"/>
  <c r="D415" i="1"/>
  <c r="D130" i="1"/>
  <c r="D991" i="1"/>
  <c r="D999" i="1"/>
  <c r="D766" i="1"/>
  <c r="D253" i="1"/>
  <c r="D342" i="1"/>
  <c r="D312" i="1"/>
  <c r="D863" i="1"/>
  <c r="D291" i="1"/>
  <c r="D200" i="1"/>
  <c r="D907" i="1"/>
  <c r="D898" i="1"/>
  <c r="D297" i="1"/>
  <c r="D886" i="1"/>
  <c r="D966" i="1"/>
  <c r="D469" i="1"/>
  <c r="D420" i="1"/>
  <c r="D78" i="1"/>
  <c r="D161" i="1"/>
  <c r="D68" i="1"/>
  <c r="D933" i="1"/>
  <c r="D879" i="1"/>
  <c r="D826" i="1"/>
  <c r="D348" i="1"/>
  <c r="D967" i="1"/>
  <c r="D197" i="1"/>
  <c r="D395" i="1"/>
  <c r="D556" i="1"/>
  <c r="D219" i="1"/>
  <c r="D784" i="1"/>
  <c r="D924" i="1"/>
  <c r="D649" i="1"/>
  <c r="D576" i="1"/>
  <c r="D380" i="1"/>
  <c r="D987" i="1"/>
  <c r="D435" i="1"/>
  <c r="D893" i="1"/>
  <c r="D583" i="1"/>
  <c r="D192" i="1"/>
  <c r="D565" i="1"/>
  <c r="D481" i="1"/>
  <c r="D396" i="1"/>
  <c r="D546" i="1"/>
  <c r="D172" i="1"/>
  <c r="D557" i="1"/>
  <c r="D525" i="1"/>
  <c r="D453" i="1"/>
  <c r="D711" i="1"/>
  <c r="D61" i="1"/>
  <c r="D774" i="1"/>
  <c r="D158" i="1"/>
  <c r="D828" i="1"/>
  <c r="D815" i="1"/>
  <c r="D791" i="1"/>
  <c r="D683" i="1"/>
  <c r="D921" i="1"/>
  <c r="D800" i="1"/>
  <c r="D131" i="1"/>
  <c r="D760" i="1"/>
  <c r="D955" i="1"/>
  <c r="D839" i="1"/>
  <c r="D374" i="1"/>
  <c r="D829" i="1"/>
  <c r="D530" i="1"/>
  <c r="D85" i="1"/>
  <c r="D840" i="1"/>
  <c r="D959" i="1"/>
  <c r="D179" i="1"/>
  <c r="D619" i="1"/>
  <c r="D122" i="1"/>
  <c r="D816" i="1"/>
  <c r="D650" i="1"/>
  <c r="D776" i="1"/>
  <c r="D882" i="1"/>
  <c r="D566" i="1"/>
  <c r="D637" i="1"/>
  <c r="D925" i="1"/>
  <c r="D673" i="1"/>
  <c r="D241" i="1"/>
  <c r="D894" i="1"/>
  <c r="D421" i="1"/>
  <c r="D349" i="1"/>
  <c r="D357" i="1"/>
  <c r="D56" i="1"/>
  <c r="D494" i="1"/>
  <c r="D911" i="1"/>
  <c r="D487" i="1"/>
  <c r="D801" i="1"/>
  <c r="D751" i="1"/>
  <c r="D752" i="1"/>
  <c r="D69" i="1"/>
  <c r="D746" i="1"/>
  <c r="D976" i="1"/>
  <c r="D149" i="1"/>
  <c r="D123" i="1"/>
  <c r="D731" i="1"/>
  <c r="D9" i="1"/>
  <c r="D796" i="1"/>
  <c r="D223" i="1"/>
  <c r="D964" i="1"/>
  <c r="D117" i="1"/>
  <c r="D960" i="1"/>
  <c r="D818" i="1"/>
  <c r="D656" i="1"/>
  <c r="D327" i="1"/>
  <c r="D841" i="1"/>
  <c r="D475" i="1"/>
  <c r="D594" i="1"/>
  <c r="D254" i="1"/>
  <c r="D770" i="1"/>
  <c r="D601" i="1"/>
  <c r="D476" i="1"/>
  <c r="D462" i="1"/>
  <c r="D992" i="1"/>
  <c r="D780" i="1"/>
  <c r="D993" i="1"/>
  <c r="D515" i="1"/>
  <c r="D477" i="1"/>
  <c r="D287" i="1"/>
  <c r="D212" i="1"/>
  <c r="D41" i="1"/>
  <c r="D180" i="1"/>
  <c r="D738" i="1"/>
  <c r="D516" i="1"/>
  <c r="D16" i="1"/>
  <c r="D470" i="1"/>
  <c r="D369" i="1"/>
  <c r="D142" i="1"/>
  <c r="D968" i="1"/>
  <c r="D242" i="1"/>
  <c r="D595" i="1"/>
  <c r="D298" i="1"/>
  <c r="D466" i="1"/>
  <c r="D611" i="1"/>
  <c r="D864" i="1"/>
  <c r="D93" i="1"/>
  <c r="D961" i="1"/>
  <c r="D509" i="1"/>
  <c r="D712" i="1"/>
  <c r="D983" i="1"/>
  <c r="D657" i="1"/>
  <c r="D926" i="1"/>
  <c r="D447" i="1"/>
  <c r="D458" i="1"/>
  <c r="D267" i="1"/>
  <c r="D292" i="1"/>
  <c r="D57" i="1"/>
  <c r="D391" i="1"/>
  <c r="D274" i="1"/>
  <c r="D107" i="1"/>
  <c r="D307" i="1"/>
  <c r="D743" i="1"/>
  <c r="D934" i="1"/>
  <c r="D31" i="1"/>
  <c r="D323" i="1"/>
  <c r="D27" i="1"/>
  <c r="D694" i="1"/>
  <c r="D638" i="1"/>
  <c r="D899" i="1"/>
  <c r="D258" i="1"/>
  <c r="D690" i="1"/>
  <c r="D150" i="1"/>
  <c r="D186" i="1"/>
  <c r="D940" i="1"/>
  <c r="D538" i="1"/>
  <c r="D567" i="1"/>
  <c r="D584" i="1"/>
  <c r="D491" i="1"/>
  <c r="D124" i="1"/>
  <c r="D429" i="1"/>
  <c r="D181" i="1"/>
  <c r="D732" i="1"/>
  <c r="D201" i="1"/>
  <c r="D761" i="1"/>
  <c r="D684" i="1"/>
  <c r="D151" i="1"/>
  <c r="D182" i="1"/>
  <c r="D777" i="1"/>
  <c r="D324" i="1"/>
  <c r="D243" i="1"/>
  <c r="D661" i="1"/>
  <c r="D713" i="1"/>
  <c r="D386" i="1"/>
  <c r="D235" i="1"/>
  <c r="D10" i="1"/>
  <c r="D789" i="1"/>
  <c r="D350" i="1"/>
  <c r="D95" i="1"/>
  <c r="D492" i="1"/>
  <c r="D125" i="1"/>
  <c r="D859" i="1"/>
  <c r="D753" i="1"/>
  <c r="D739" i="1"/>
  <c r="D702" i="1"/>
  <c r="D224" i="1"/>
  <c r="D935" i="1"/>
  <c r="D118" i="1"/>
  <c r="D361" i="1"/>
  <c r="D236" i="1"/>
  <c r="D187" i="1"/>
  <c r="D448" i="1"/>
  <c r="D58" i="1"/>
  <c r="D662" i="1"/>
  <c r="D714" i="1"/>
  <c r="D725" i="1"/>
  <c r="D183" i="1"/>
  <c r="D328" i="1"/>
  <c r="D895" i="1"/>
  <c r="D927" i="1"/>
  <c r="D670" i="1"/>
  <c r="D585" i="1"/>
  <c r="D830" i="1"/>
  <c r="D870" i="1"/>
  <c r="D947" i="1"/>
  <c r="D550" i="1"/>
  <c r="D883" i="1"/>
  <c r="D205" i="1"/>
  <c r="D482" i="1"/>
  <c r="D937" i="1"/>
  <c r="D912" i="1"/>
  <c r="D28" i="1"/>
  <c r="D96" i="1"/>
  <c r="D762" i="1"/>
  <c r="D416" i="1"/>
  <c r="D936" i="1"/>
  <c r="D612" i="1"/>
  <c r="D517" i="1"/>
  <c r="D691" i="1"/>
  <c r="D159" i="1"/>
  <c r="D70" i="1"/>
  <c r="D526" i="1"/>
  <c r="D728" i="1"/>
  <c r="D255" i="1"/>
  <c r="D754" i="1"/>
  <c r="D900" i="1"/>
  <c r="D908" i="1"/>
  <c r="D184" i="1"/>
  <c r="D586" i="1"/>
  <c r="D848" i="1"/>
  <c r="D771" i="1"/>
  <c r="D913" i="1"/>
  <c r="D613" i="1"/>
  <c r="D103" i="1"/>
  <c r="D375" i="1"/>
  <c r="D518" i="1"/>
  <c r="D606" i="1"/>
  <c r="D871" i="1"/>
  <c r="D813" i="1"/>
  <c r="D404" i="1"/>
  <c r="D909" i="1"/>
  <c r="D755" i="1"/>
  <c r="D620" i="1"/>
  <c r="D445" i="1"/>
  <c r="D198" i="1"/>
  <c r="D872" i="1"/>
  <c r="D280" i="1"/>
  <c r="D941" i="1"/>
  <c r="D329" i="1"/>
  <c r="D74" i="1"/>
  <c r="D831" i="1"/>
  <c r="D436" i="1"/>
  <c r="D522" i="1"/>
  <c r="D220" i="1"/>
  <c r="D99" i="1"/>
  <c r="D89" i="1"/>
  <c r="D928" i="1"/>
  <c r="D884" i="1"/>
  <c r="D228" i="1"/>
  <c r="D625" i="1"/>
  <c r="D281" i="1"/>
  <c r="D663" i="1"/>
  <c r="D173" i="1"/>
  <c r="D202" i="1"/>
  <c r="D225" i="1"/>
  <c r="D644" i="1"/>
  <c r="D50" i="1"/>
  <c r="D804" i="1"/>
  <c r="D948" i="1"/>
  <c r="D132" i="1"/>
  <c r="D392" i="1"/>
  <c r="D849" i="1"/>
  <c r="D632" i="1"/>
  <c r="D381" i="1"/>
  <c r="D260" i="1"/>
  <c r="D817" i="1"/>
  <c r="D664" i="1"/>
  <c r="D1000" i="1"/>
  <c r="D695" i="1"/>
  <c r="D887" i="1"/>
  <c r="D160" i="1"/>
  <c r="D531" i="1"/>
  <c r="D860" i="1"/>
  <c r="D917" i="1"/>
  <c r="D387" i="1"/>
  <c r="D430" i="1"/>
  <c r="D942" i="1"/>
  <c r="D313" i="1"/>
  <c r="D108" i="1"/>
  <c r="D250" i="1"/>
  <c r="D22" i="1"/>
  <c r="D259" i="1"/>
  <c r="D314" i="1"/>
  <c r="D914" i="1"/>
  <c r="D11" i="1"/>
  <c r="D639" i="1"/>
  <c r="D633" i="1"/>
  <c r="D79" i="1"/>
  <c r="D62" i="1"/>
  <c r="D215" i="1"/>
  <c r="D422" i="1"/>
  <c r="D744" i="1"/>
  <c r="D126" i="1"/>
  <c r="D382" i="1"/>
  <c r="D699" i="1"/>
  <c r="D795" i="1"/>
  <c r="D665" i="1"/>
  <c r="D811" i="1"/>
  <c r="D71" i="1"/>
  <c r="D929" i="1"/>
  <c r="D805" i="1"/>
  <c r="D42" i="1"/>
  <c r="D32" i="1"/>
  <c r="D80" i="1"/>
  <c r="D651" i="1"/>
  <c r="D162" i="1"/>
  <c r="D293" i="1"/>
  <c r="D362" i="1"/>
  <c r="D692" i="1"/>
  <c r="D165" i="1"/>
  <c r="D551" i="1"/>
  <c r="D901" i="1"/>
  <c r="D308" i="1"/>
  <c r="D969" i="1"/>
  <c r="D109" i="1"/>
  <c r="D500" i="1"/>
  <c r="D850" i="1"/>
  <c r="D268" i="1"/>
  <c r="D896" i="1"/>
  <c r="D570" i="1"/>
  <c r="D417" i="1"/>
  <c r="D596" i="1"/>
  <c r="D552" i="1"/>
  <c r="D571" i="1"/>
  <c r="D166" i="1"/>
  <c r="D273" i="1"/>
  <c r="D433" i="1"/>
  <c r="D488" i="1"/>
  <c r="D244" i="1"/>
  <c r="D970" i="1"/>
  <c r="D523" i="1"/>
  <c r="D949" i="1"/>
  <c r="D405" i="1"/>
  <c r="D646" i="1"/>
  <c r="D29" i="1"/>
  <c r="D467" i="1"/>
  <c r="D607" i="1"/>
  <c r="D383" i="1"/>
  <c r="D343" i="1"/>
  <c r="D519" i="1"/>
  <c r="D950" i="1"/>
  <c r="D994" i="1"/>
  <c r="D1001" i="1"/>
  <c r="D176" i="1"/>
  <c r="D792" i="1"/>
  <c r="D358" i="1"/>
  <c r="D315" i="1"/>
  <c r="D152" i="1"/>
  <c r="D110" i="1"/>
  <c r="D822" i="1"/>
  <c r="D483" i="1"/>
  <c r="D745" i="1"/>
  <c r="D193" i="1"/>
  <c r="D397" i="1"/>
  <c r="D256" i="1"/>
  <c r="D423" i="1"/>
  <c r="D915" i="1"/>
  <c r="D370" i="1"/>
  <c r="D686" i="1"/>
  <c r="D572" i="1"/>
  <c r="D842" i="1"/>
  <c r="D81" i="1"/>
  <c r="D634" i="1"/>
  <c r="D275" i="1"/>
  <c r="D188" i="1"/>
  <c r="D510" i="1"/>
  <c r="D640" i="1"/>
  <c r="D251" i="1"/>
  <c r="D1002" i="1"/>
  <c r="D888" i="1"/>
  <c r="D718" i="1"/>
  <c r="D733" i="1"/>
  <c r="D90" i="1"/>
  <c r="D51" i="1"/>
  <c r="D82" i="1"/>
  <c r="D489" i="1"/>
  <c r="D351" i="1"/>
  <c r="D719" i="1"/>
  <c r="D577" i="1"/>
  <c r="D626" i="1"/>
  <c r="D587" i="1"/>
  <c r="D418" i="1"/>
  <c r="D226" i="1"/>
  <c r="D819" i="1"/>
  <c r="D951" i="1"/>
  <c r="D133" i="1"/>
  <c r="D539" i="1"/>
  <c r="D578" i="1"/>
  <c r="D880" i="1"/>
  <c r="D30" i="1"/>
  <c r="D299" i="1"/>
  <c r="D300" i="1"/>
  <c r="D437" i="1"/>
  <c r="D621" i="1"/>
  <c r="D540" i="1"/>
  <c r="D344" i="1"/>
  <c r="D33" i="1"/>
  <c r="D471" i="1"/>
  <c r="D622" i="1"/>
  <c r="D245" i="1"/>
  <c r="D851" i="1"/>
  <c r="D793" i="1"/>
  <c r="D734" i="1"/>
  <c r="D995" i="1"/>
  <c r="D614" i="1"/>
  <c r="D553" i="1"/>
  <c r="D602" i="1"/>
  <c r="D615" i="1"/>
  <c r="D454" i="1"/>
  <c r="D772" i="1"/>
  <c r="D501" i="1"/>
  <c r="D177" i="1"/>
  <c r="D153" i="1"/>
  <c r="D127" i="1"/>
  <c r="D119" i="1"/>
  <c r="D490" i="1"/>
  <c r="D276" i="1"/>
  <c r="D781" i="1"/>
  <c r="D384" i="1"/>
  <c r="D852" i="1"/>
  <c r="D853" i="1"/>
  <c r="D83" i="1"/>
  <c r="D167" i="1"/>
  <c r="D17" i="1"/>
  <c r="D484" i="1"/>
  <c r="D91" i="1"/>
  <c r="D63" i="1"/>
  <c r="D532" i="1"/>
  <c r="D756" i="1"/>
  <c r="D740" i="1"/>
  <c r="D843" i="1"/>
  <c r="D971" i="1"/>
  <c r="D790" i="1"/>
  <c r="D221" i="1"/>
  <c r="D406" i="1"/>
  <c r="D703" i="1"/>
  <c r="D541" i="1"/>
  <c r="D111" i="1"/>
  <c r="D767" i="1"/>
  <c r="D463" i="1"/>
  <c r="D371" i="1"/>
  <c r="D84" i="1"/>
  <c r="D137" i="1"/>
  <c r="D495" i="1"/>
  <c r="D455" i="1"/>
  <c r="D168" i="1"/>
  <c r="D207" i="1"/>
  <c r="D112" i="1"/>
  <c r="D865" i="1"/>
  <c r="D542" i="1"/>
  <c r="D603" i="1"/>
  <c r="D75" i="1"/>
  <c r="D316" i="1"/>
  <c r="D301" i="1"/>
  <c r="D138" i="1"/>
  <c r="D938" i="1"/>
  <c r="D854" i="1"/>
  <c r="D696" i="1"/>
  <c r="D641" i="1"/>
  <c r="D64" i="1"/>
  <c r="D113" i="1"/>
  <c r="D325" i="1"/>
  <c r="D726" i="1"/>
  <c r="D237" i="1"/>
  <c r="D97" i="1"/>
  <c r="D943" i="1"/>
  <c r="D194" i="1"/>
  <c r="D34" i="1"/>
  <c r="D449" i="1"/>
  <c r="D169" i="1"/>
  <c r="D446" i="1"/>
  <c r="D996" i="1"/>
  <c r="D533" i="1"/>
  <c r="D485" i="1"/>
  <c r="D189" i="1"/>
  <c r="D930" i="1"/>
  <c r="D46" i="1"/>
  <c r="D589" i="1"/>
  <c r="D496" i="1"/>
  <c r="D922" i="1"/>
  <c r="D478" i="1"/>
  <c r="D363" i="1"/>
  <c r="D704" i="1"/>
  <c r="D400" i="1"/>
  <c r="D735" i="1"/>
  <c r="D561" i="1"/>
  <c r="D705" i="1"/>
  <c r="D359" i="1"/>
  <c r="D65" i="1"/>
  <c r="D645" i="1"/>
  <c r="D282" i="1"/>
  <c r="D952" i="1"/>
  <c r="D59" i="1"/>
  <c r="D269" i="1"/>
  <c r="D881" i="1"/>
  <c r="D527" i="1"/>
  <c r="D411" i="1"/>
  <c r="D785" i="1"/>
  <c r="D238" i="1"/>
  <c r="D450" i="1"/>
  <c r="D479" i="1"/>
  <c r="D635" i="1"/>
  <c r="D252" i="1"/>
  <c r="D977" i="1"/>
  <c r="D715" i="1"/>
  <c r="D658" i="1"/>
  <c r="D128" i="1"/>
  <c r="D304" i="1"/>
  <c r="D579" i="1"/>
  <c r="D623" i="1"/>
  <c r="D18" i="1"/>
  <c r="D174" i="1"/>
  <c r="D114" i="1"/>
  <c r="D246" i="1"/>
  <c r="D534" i="1"/>
  <c r="D52" i="1"/>
  <c r="D309" i="1"/>
  <c r="D706" i="1"/>
  <c r="D716" i="1"/>
  <c r="D568" i="1"/>
  <c r="D60" i="1"/>
  <c r="D502" i="1"/>
  <c r="D47" i="1"/>
  <c r="D834" i="1"/>
  <c r="D195" i="1"/>
  <c r="D720" i="1"/>
  <c r="D806" i="1"/>
  <c r="D261" i="1"/>
  <c r="D773" i="1"/>
  <c r="D923" i="1"/>
  <c r="D451" i="1"/>
  <c r="D797" i="1"/>
  <c r="D154" i="1"/>
  <c r="D283" i="1"/>
  <c r="D910" i="1"/>
  <c r="D23" i="1"/>
  <c r="D624" i="1"/>
  <c r="D984" i="1"/>
  <c r="D659" i="1"/>
  <c r="D310" i="1"/>
  <c r="D337" i="1"/>
  <c r="D978" i="1"/>
  <c r="D388" i="1"/>
  <c r="D12" i="1"/>
  <c r="D199" i="1"/>
  <c r="D330" i="1"/>
  <c r="D687" i="1"/>
  <c r="D844" i="1"/>
  <c r="D120" i="1"/>
  <c r="D505" i="1"/>
  <c r="D835" i="1"/>
  <c r="D988" i="1"/>
  <c r="D597" i="1"/>
  <c r="D807" i="1"/>
  <c r="D372" i="1"/>
  <c r="D364" i="1"/>
  <c r="D352" i="1"/>
  <c r="D580" i="1"/>
  <c r="D185" i="1"/>
  <c r="D636" i="1"/>
  <c r="D931" i="1"/>
  <c r="D317" i="1"/>
  <c r="D53" i="1"/>
  <c r="D642" i="1"/>
  <c r="D139" i="1"/>
  <c r="D367" i="1"/>
  <c r="D802" i="1"/>
  <c r="D627" i="1"/>
  <c r="D897" i="1"/>
  <c r="D962" i="1"/>
  <c r="D163" i="1"/>
  <c r="D288" i="1"/>
  <c r="D401" i="1"/>
  <c r="D681" i="1"/>
  <c r="D855" i="1"/>
  <c r="D393" i="1"/>
  <c r="D360" i="1"/>
  <c r="D284" i="1"/>
  <c r="D338" i="1"/>
  <c r="D535" i="1"/>
  <c r="D956" i="1"/>
  <c r="D707" i="1"/>
  <c r="D511" i="1"/>
  <c r="D289" i="1"/>
  <c r="D86" i="1"/>
  <c r="D647" i="1"/>
  <c r="D431" i="1"/>
  <c r="D757" i="1"/>
  <c r="D674" i="1"/>
  <c r="D311" i="1"/>
  <c r="D459" i="1"/>
  <c r="D979" i="1"/>
  <c r="D24" i="1"/>
  <c r="D652" i="1"/>
  <c r="D889" i="1"/>
  <c r="D206" i="1"/>
  <c r="D385" i="1"/>
  <c r="D721" i="1"/>
  <c r="D331" i="1"/>
  <c r="D677" i="1"/>
  <c r="D376" i="1"/>
  <c r="D902" i="1"/>
  <c r="D239" i="1"/>
  <c r="D616" i="1"/>
  <c r="D873" i="1"/>
  <c r="D373" i="1"/>
  <c r="D562" i="1"/>
  <c r="D747" i="1"/>
  <c r="D989" i="1"/>
  <c r="D277" i="1"/>
  <c r="D452" i="1"/>
  <c r="D985" i="1"/>
  <c r="D973" i="1"/>
  <c r="D997" i="1"/>
  <c r="D247" i="1"/>
  <c r="D472" i="1"/>
  <c r="D903" i="1"/>
  <c r="D794" i="1"/>
  <c r="D666" i="1"/>
  <c r="D13" i="1"/>
  <c r="D143" i="1"/>
  <c r="D628" i="1"/>
  <c r="D768" i="1"/>
  <c r="D590" i="1"/>
  <c r="D398" i="1"/>
  <c r="D441" i="1"/>
  <c r="D100" i="1"/>
  <c r="D722" i="1"/>
  <c r="D598" i="1"/>
  <c r="D473" i="1"/>
  <c r="D697" i="1"/>
  <c r="D270" i="1"/>
  <c r="D424" i="1"/>
  <c r="D717" i="1"/>
  <c r="D866" i="1"/>
  <c r="D432" i="1"/>
  <c r="D115" i="1"/>
  <c r="D170" i="1"/>
  <c r="D953" i="1"/>
  <c r="D867" i="1"/>
  <c r="D856" i="1"/>
  <c r="D208" i="1"/>
  <c r="D332" i="1"/>
  <c r="D808" i="1"/>
  <c r="D394" i="1"/>
  <c r="D318" i="1"/>
  <c r="D741" i="1"/>
  <c r="D974" i="1"/>
  <c r="D302" i="1"/>
  <c r="D857" i="1"/>
  <c r="D998" i="1"/>
  <c r="D438" i="1"/>
  <c r="D434" i="1"/>
  <c r="D827" i="1"/>
  <c r="D832" i="1"/>
  <c r="D963" i="1"/>
  <c r="D874" i="1"/>
  <c r="D748" i="1"/>
  <c r="D419" i="1"/>
  <c r="D904" i="1"/>
  <c r="D468" i="1"/>
  <c r="D544" i="1"/>
  <c r="D353" i="1"/>
  <c r="D340" i="1"/>
  <c r="D736" i="1"/>
  <c r="D262" i="1"/>
  <c r="D389" i="1"/>
  <c r="D944" i="1"/>
  <c r="D271" i="1"/>
  <c r="D407" i="1"/>
  <c r="D227" i="1"/>
  <c r="D786" i="1"/>
  <c r="D708" i="1"/>
  <c r="D591" i="1"/>
  <c r="D980" i="1"/>
  <c r="D667" i="1"/>
  <c r="D1003" i="1"/>
  <c r="D520" i="1"/>
  <c r="D377" i="1"/>
  <c r="D465" i="1"/>
  <c r="D486" i="1"/>
  <c r="D604" i="1"/>
  <c r="D608" i="1"/>
  <c r="D456" i="1"/>
  <c r="D345" i="1"/>
  <c r="D836" i="1"/>
  <c r="D290" i="1"/>
  <c r="D558" i="1"/>
  <c r="D890" i="1"/>
  <c r="D653" i="1"/>
  <c r="D14" i="1"/>
  <c r="D248" i="1"/>
  <c r="D412" i="1"/>
  <c r="D339" i="1"/>
  <c r="D15" i="1"/>
  <c r="D413" i="1"/>
  <c r="D72" i="1"/>
  <c r="D554" i="1"/>
  <c r="D555" i="1"/>
  <c r="D231" i="1"/>
  <c r="D543" i="1"/>
  <c r="D365" i="1"/>
  <c r="D763" i="1"/>
  <c r="D35" i="1"/>
  <c r="D729" i="1"/>
  <c r="D43" i="1"/>
  <c r="D536" i="1"/>
  <c r="D563" i="1"/>
  <c r="D171" i="1"/>
  <c r="D573" i="1"/>
  <c r="D861" i="1"/>
  <c r="D196" i="1"/>
  <c r="D918" i="1"/>
  <c r="D48" i="1"/>
  <c r="D140" i="1"/>
  <c r="D399" i="1"/>
  <c r="D654" i="1"/>
  <c r="D425" i="1"/>
  <c r="D229" i="1"/>
  <c r="D778" i="1"/>
  <c r="D232" i="1"/>
  <c r="D134" i="1"/>
  <c r="D497" i="1"/>
  <c r="D981" i="1"/>
  <c r="D678" i="1"/>
  <c r="D891" i="1"/>
  <c r="D609" i="1"/>
  <c r="D503" i="1"/>
  <c r="D957" i="1"/>
  <c r="D480" i="1"/>
  <c r="D305" i="1"/>
  <c r="D25" i="1"/>
  <c r="D66" i="1"/>
  <c r="D442" i="1"/>
  <c r="D521" i="1"/>
  <c r="D263" i="1"/>
  <c r="D408" i="1"/>
  <c r="D460" i="1"/>
  <c r="D498" i="1"/>
  <c r="D144" i="1"/>
  <c r="D285" i="1"/>
  <c r="D693" i="1"/>
  <c r="D464" i="1"/>
  <c r="D675" i="1"/>
  <c r="D742" i="1"/>
  <c r="D892" i="1"/>
  <c r="D426" i="1"/>
  <c r="D769" i="1"/>
  <c r="D135" i="1"/>
  <c r="D319" i="1"/>
  <c r="D36" i="1"/>
  <c r="D49" i="1"/>
  <c r="D749" i="1"/>
  <c r="D787" i="1"/>
  <c r="G272" i="1"/>
  <c r="G845" i="1"/>
  <c r="G986" i="1"/>
  <c r="G809" i="1"/>
  <c r="G858" i="1"/>
  <c r="G286" i="1"/>
  <c r="G333" i="1"/>
  <c r="G932" i="1"/>
  <c r="G823" i="1"/>
  <c r="G775" i="1"/>
  <c r="G155" i="1"/>
  <c r="G334" i="1"/>
  <c r="G278" i="1"/>
  <c r="G648" i="1"/>
  <c r="G129" i="1"/>
  <c r="G233" i="1"/>
  <c r="G121" i="1"/>
  <c r="G366" i="1"/>
  <c r="G73" i="1"/>
  <c r="G723" i="1"/>
  <c r="G574" i="1"/>
  <c r="G306" i="1"/>
  <c r="G335" i="1"/>
  <c r="G76" i="1"/>
  <c r="G156" i="1"/>
  <c r="G824" i="1"/>
  <c r="G982" i="1"/>
  <c r="G37" i="1"/>
  <c r="G326" i="1"/>
  <c r="G320" i="1"/>
  <c r="G812" i="1"/>
  <c r="G504" i="1"/>
  <c r="G975" i="1"/>
  <c r="G758" i="1"/>
  <c r="G222" i="1"/>
  <c r="G682" i="1"/>
  <c r="G875" i="1"/>
  <c r="G506" i="1"/>
  <c r="G5" i="1"/>
  <c r="G814" i="1"/>
  <c r="G581" i="1"/>
  <c r="G588" i="1"/>
  <c r="G175" i="1"/>
  <c r="G724" i="1"/>
  <c r="G439" i="1"/>
  <c r="G545" i="1"/>
  <c r="G564" i="1"/>
  <c r="G354" i="1"/>
  <c r="G559" i="1"/>
  <c r="G919" i="1"/>
  <c r="G240" i="1"/>
  <c r="G346" i="1"/>
  <c r="G230" i="1"/>
  <c r="G104" i="1"/>
  <c r="G700" i="1"/>
  <c r="G4" i="1"/>
  <c r="G965" i="1"/>
  <c r="G547" i="1"/>
  <c r="G38" i="1"/>
  <c r="G782" i="1"/>
  <c r="G990" i="1"/>
  <c r="G512" i="1"/>
  <c r="G846" i="1"/>
  <c r="G164" i="1"/>
  <c r="G92" i="1"/>
  <c r="G440" i="1"/>
  <c r="G920" i="1"/>
  <c r="G19" i="1"/>
  <c r="G402" i="1"/>
  <c r="G44" i="1"/>
  <c r="G216" i="1"/>
  <c r="G820" i="1"/>
  <c r="G294" i="1"/>
  <c r="G958" i="1"/>
  <c r="G905" i="1"/>
  <c r="G321" i="1"/>
  <c r="G336" i="1"/>
  <c r="G759" i="1"/>
  <c r="G295" i="1"/>
  <c r="G355" i="1"/>
  <c r="G234" i="1"/>
  <c r="G730" i="1"/>
  <c r="G178" i="1"/>
  <c r="G592" i="1"/>
  <c r="G499" i="1"/>
  <c r="G474" i="1"/>
  <c r="G513" i="1"/>
  <c r="G105" i="1"/>
  <c r="G885" i="1"/>
  <c r="G688" i="1"/>
  <c r="G6" i="1"/>
  <c r="G209" i="1"/>
  <c r="G610" i="1"/>
  <c r="G67" i="1"/>
  <c r="G7" i="1"/>
  <c r="G575" i="1"/>
  <c r="G833" i="1"/>
  <c r="G427" i="1"/>
  <c r="G217" i="1"/>
  <c r="G203" i="1"/>
  <c r="G54" i="1"/>
  <c r="G409" i="1"/>
  <c r="G548" i="1"/>
  <c r="G87" i="1"/>
  <c r="G798" i="1"/>
  <c r="G457" i="1"/>
  <c r="G810" i="1"/>
  <c r="G821" i="1"/>
  <c r="G582" i="1"/>
  <c r="G876" i="1"/>
  <c r="G39" i="1"/>
  <c r="G190" i="1"/>
  <c r="G157" i="1"/>
  <c r="G779" i="1"/>
  <c r="G668" i="1"/>
  <c r="G303" i="1"/>
  <c r="G88" i="1"/>
  <c r="G55" i="1"/>
  <c r="G629" i="1"/>
  <c r="G101" i="1"/>
  <c r="G347" i="1"/>
  <c r="G296" i="1"/>
  <c r="G493" i="1"/>
  <c r="G264" i="1"/>
  <c r="G868" i="1"/>
  <c r="G972" i="1"/>
  <c r="G945" i="1"/>
  <c r="G946" i="1"/>
  <c r="G102" i="1"/>
  <c r="G213" i="1"/>
  <c r="G630" i="1"/>
  <c r="G605" i="1"/>
  <c r="G403" i="1"/>
  <c r="G210" i="1"/>
  <c r="G643" i="1"/>
  <c r="G145" i="1"/>
  <c r="G94" i="1"/>
  <c r="G249" i="1"/>
  <c r="G414" i="1"/>
  <c r="G593" i="1"/>
  <c r="G727" i="1"/>
  <c r="G204" i="1"/>
  <c r="G218" i="1"/>
  <c r="G862" i="1"/>
  <c r="G954" i="1"/>
  <c r="G191" i="1"/>
  <c r="G136" i="1"/>
  <c r="G671" i="1"/>
  <c r="G428" i="1"/>
  <c r="G20" i="1"/>
  <c r="G599" i="1"/>
  <c r="G799" i="1"/>
  <c r="G764" i="1"/>
  <c r="G939" i="1"/>
  <c r="G211" i="1"/>
  <c r="G569" i="1"/>
  <c r="G528" i="1"/>
  <c r="G560" i="1"/>
  <c r="G378" i="1"/>
  <c r="G765" i="1"/>
  <c r="G676" i="1"/>
  <c r="G514" i="1"/>
  <c r="G379" i="1"/>
  <c r="G689" i="1"/>
  <c r="G77" i="1"/>
  <c r="G265" i="1"/>
  <c r="G390" i="1"/>
  <c r="G916" i="1"/>
  <c r="G322" i="1"/>
  <c r="G98" i="1"/>
  <c r="G803" i="1"/>
  <c r="G146" i="1"/>
  <c r="G847" i="1"/>
  <c r="G631" i="1"/>
  <c r="G679" i="1"/>
  <c r="G701" i="1"/>
  <c r="G750" i="1"/>
  <c r="G825" i="1"/>
  <c r="G147" i="1"/>
  <c r="G141" i="1"/>
  <c r="G709" i="1"/>
  <c r="G524" i="1"/>
  <c r="G8" i="1"/>
  <c r="G600" i="1"/>
  <c r="G698" i="1"/>
  <c r="G783" i="1"/>
  <c r="G680" i="1"/>
  <c r="G148" i="1"/>
  <c r="G40" i="1"/>
  <c r="G443" i="1"/>
  <c r="G655" i="1"/>
  <c r="G45" i="1"/>
  <c r="G461" i="1"/>
  <c r="G444" i="1"/>
  <c r="G837" i="1"/>
  <c r="G617" i="1"/>
  <c r="G507" i="1"/>
  <c r="G214" i="1"/>
  <c r="G529" i="1"/>
  <c r="G869" i="1"/>
  <c r="G410" i="1"/>
  <c r="G877" i="1"/>
  <c r="G838" i="1"/>
  <c r="G266" i="1"/>
  <c r="G26" i="1"/>
  <c r="G106" i="1"/>
  <c r="G737" i="1"/>
  <c r="G906" i="1"/>
  <c r="G549" i="1"/>
  <c r="G537" i="1"/>
  <c r="G257" i="1"/>
  <c r="G669" i="1"/>
  <c r="G21" i="1"/>
  <c r="G356" i="1"/>
  <c r="G116" i="1"/>
  <c r="G660" i="1"/>
  <c r="G878" i="1"/>
  <c r="G710" i="1"/>
  <c r="G685" i="1"/>
  <c r="G279" i="1"/>
  <c r="G368" i="1"/>
  <c r="G508" i="1"/>
  <c r="G618" i="1"/>
  <c r="G788" i="1"/>
  <c r="G341" i="1"/>
  <c r="G672" i="1"/>
  <c r="G415" i="1"/>
  <c r="G130" i="1"/>
  <c r="G991" i="1"/>
  <c r="G999" i="1"/>
  <c r="G766" i="1"/>
  <c r="G253" i="1"/>
  <c r="G342" i="1"/>
  <c r="G312" i="1"/>
  <c r="G863" i="1"/>
  <c r="G291" i="1"/>
  <c r="G200" i="1"/>
  <c r="G907" i="1"/>
  <c r="G898" i="1"/>
  <c r="G297" i="1"/>
  <c r="G886" i="1"/>
  <c r="G966" i="1"/>
  <c r="G469" i="1"/>
  <c r="G420" i="1"/>
  <c r="G78" i="1"/>
  <c r="G161" i="1"/>
  <c r="G68" i="1"/>
  <c r="G933" i="1"/>
  <c r="G879" i="1"/>
  <c r="G826" i="1"/>
  <c r="G348" i="1"/>
  <c r="G967" i="1"/>
  <c r="G197" i="1"/>
  <c r="G395" i="1"/>
  <c r="G556" i="1"/>
  <c r="G219" i="1"/>
  <c r="G784" i="1"/>
  <c r="G924" i="1"/>
  <c r="G649" i="1"/>
  <c r="G576" i="1"/>
  <c r="G380" i="1"/>
  <c r="G987" i="1"/>
  <c r="G435" i="1"/>
  <c r="G893" i="1"/>
  <c r="G583" i="1"/>
  <c r="G192" i="1"/>
  <c r="G565" i="1"/>
  <c r="G481" i="1"/>
  <c r="G396" i="1"/>
  <c r="G546" i="1"/>
  <c r="G172" i="1"/>
  <c r="G557" i="1"/>
  <c r="G525" i="1"/>
  <c r="G453" i="1"/>
  <c r="G711" i="1"/>
  <c r="G61" i="1"/>
  <c r="G774" i="1"/>
  <c r="G158" i="1"/>
  <c r="G828" i="1"/>
  <c r="G815" i="1"/>
  <c r="G791" i="1"/>
  <c r="G683" i="1"/>
  <c r="G921" i="1"/>
  <c r="G800" i="1"/>
  <c r="G131" i="1"/>
  <c r="G760" i="1"/>
  <c r="G955" i="1"/>
  <c r="G839" i="1"/>
  <c r="G374" i="1"/>
  <c r="G829" i="1"/>
  <c r="G530" i="1"/>
  <c r="G85" i="1"/>
  <c r="G840" i="1"/>
  <c r="G959" i="1"/>
  <c r="G179" i="1"/>
  <c r="G619" i="1"/>
  <c r="G122" i="1"/>
  <c r="G816" i="1"/>
  <c r="G650" i="1"/>
  <c r="G776" i="1"/>
  <c r="G882" i="1"/>
  <c r="G566" i="1"/>
  <c r="G637" i="1"/>
  <c r="G925" i="1"/>
  <c r="G673" i="1"/>
  <c r="G241" i="1"/>
  <c r="G894" i="1"/>
  <c r="G421" i="1"/>
  <c r="G349" i="1"/>
  <c r="G357" i="1"/>
  <c r="G56" i="1"/>
  <c r="G494" i="1"/>
  <c r="G911" i="1"/>
  <c r="G487" i="1"/>
  <c r="G801" i="1"/>
  <c r="G751" i="1"/>
  <c r="G752" i="1"/>
  <c r="G69" i="1"/>
  <c r="G746" i="1"/>
  <c r="G976" i="1"/>
  <c r="G149" i="1"/>
  <c r="G123" i="1"/>
  <c r="G731" i="1"/>
  <c r="G9" i="1"/>
  <c r="G796" i="1"/>
  <c r="G223" i="1"/>
  <c r="G964" i="1"/>
  <c r="G117" i="1"/>
  <c r="G960" i="1"/>
  <c r="G818" i="1"/>
  <c r="G656" i="1"/>
  <c r="G327" i="1"/>
  <c r="G841" i="1"/>
  <c r="G475" i="1"/>
  <c r="G594" i="1"/>
  <c r="G254" i="1"/>
  <c r="G770" i="1"/>
  <c r="G601" i="1"/>
  <c r="G476" i="1"/>
  <c r="G462" i="1"/>
  <c r="G992" i="1"/>
  <c r="G780" i="1"/>
  <c r="G993" i="1"/>
  <c r="G515" i="1"/>
  <c r="G477" i="1"/>
  <c r="G287" i="1"/>
  <c r="G212" i="1"/>
  <c r="G41" i="1"/>
  <c r="G180" i="1"/>
  <c r="G738" i="1"/>
  <c r="G516" i="1"/>
  <c r="G16" i="1"/>
  <c r="G470" i="1"/>
  <c r="G369" i="1"/>
  <c r="G142" i="1"/>
  <c r="G968" i="1"/>
  <c r="G242" i="1"/>
  <c r="G595" i="1"/>
  <c r="G298" i="1"/>
  <c r="G466" i="1"/>
  <c r="G611" i="1"/>
  <c r="G864" i="1"/>
  <c r="G93" i="1"/>
  <c r="G961" i="1"/>
  <c r="G509" i="1"/>
  <c r="G712" i="1"/>
  <c r="G983" i="1"/>
  <c r="G657" i="1"/>
  <c r="G926" i="1"/>
  <c r="G447" i="1"/>
  <c r="G458" i="1"/>
  <c r="G267" i="1"/>
  <c r="G292" i="1"/>
  <c r="G57" i="1"/>
  <c r="G391" i="1"/>
  <c r="G274" i="1"/>
  <c r="G107" i="1"/>
  <c r="G307" i="1"/>
  <c r="G743" i="1"/>
  <c r="G934" i="1"/>
  <c r="G31" i="1"/>
  <c r="G323" i="1"/>
  <c r="G27" i="1"/>
  <c r="G694" i="1"/>
  <c r="G638" i="1"/>
  <c r="G899" i="1"/>
  <c r="G258" i="1"/>
  <c r="G690" i="1"/>
  <c r="G150" i="1"/>
  <c r="G186" i="1"/>
  <c r="G940" i="1"/>
  <c r="G538" i="1"/>
  <c r="G567" i="1"/>
  <c r="G584" i="1"/>
  <c r="G491" i="1"/>
  <c r="G124" i="1"/>
  <c r="G429" i="1"/>
  <c r="G181" i="1"/>
  <c r="G732" i="1"/>
  <c r="G201" i="1"/>
  <c r="G761" i="1"/>
  <c r="G684" i="1"/>
  <c r="G151" i="1"/>
  <c r="G182" i="1"/>
  <c r="G777" i="1"/>
  <c r="G324" i="1"/>
  <c r="G243" i="1"/>
  <c r="G661" i="1"/>
  <c r="G713" i="1"/>
  <c r="G386" i="1"/>
  <c r="G235" i="1"/>
  <c r="G10" i="1"/>
  <c r="G789" i="1"/>
  <c r="G350" i="1"/>
  <c r="G95" i="1"/>
  <c r="G492" i="1"/>
  <c r="G125" i="1"/>
  <c r="G859" i="1"/>
  <c r="G753" i="1"/>
  <c r="G739" i="1"/>
  <c r="G702" i="1"/>
  <c r="G224" i="1"/>
  <c r="G935" i="1"/>
  <c r="G118" i="1"/>
  <c r="G361" i="1"/>
  <c r="G236" i="1"/>
  <c r="G187" i="1"/>
  <c r="G448" i="1"/>
  <c r="G58" i="1"/>
  <c r="G662" i="1"/>
  <c r="G714" i="1"/>
  <c r="G725" i="1"/>
  <c r="G183" i="1"/>
  <c r="G328" i="1"/>
  <c r="G895" i="1"/>
  <c r="G927" i="1"/>
  <c r="G670" i="1"/>
  <c r="G585" i="1"/>
  <c r="G830" i="1"/>
  <c r="G870" i="1"/>
  <c r="G947" i="1"/>
  <c r="G550" i="1"/>
  <c r="G883" i="1"/>
  <c r="G205" i="1"/>
  <c r="G482" i="1"/>
  <c r="G937" i="1"/>
  <c r="G912" i="1"/>
  <c r="G28" i="1"/>
  <c r="G96" i="1"/>
  <c r="G762" i="1"/>
  <c r="G416" i="1"/>
  <c r="G936" i="1"/>
  <c r="G612" i="1"/>
  <c r="G517" i="1"/>
  <c r="G691" i="1"/>
  <c r="G159" i="1"/>
  <c r="G70" i="1"/>
  <c r="G526" i="1"/>
  <c r="G728" i="1"/>
  <c r="G255" i="1"/>
  <c r="G754" i="1"/>
  <c r="G900" i="1"/>
  <c r="G908" i="1"/>
  <c r="G184" i="1"/>
  <c r="G586" i="1"/>
  <c r="G848" i="1"/>
  <c r="G771" i="1"/>
  <c r="G913" i="1"/>
  <c r="G613" i="1"/>
  <c r="G103" i="1"/>
  <c r="G375" i="1"/>
  <c r="G518" i="1"/>
  <c r="G606" i="1"/>
  <c r="G871" i="1"/>
  <c r="G813" i="1"/>
  <c r="G404" i="1"/>
  <c r="G909" i="1"/>
  <c r="G755" i="1"/>
  <c r="G620" i="1"/>
  <c r="G445" i="1"/>
  <c r="G198" i="1"/>
  <c r="G872" i="1"/>
  <c r="G280" i="1"/>
  <c r="G941" i="1"/>
  <c r="G329" i="1"/>
  <c r="G74" i="1"/>
  <c r="G831" i="1"/>
  <c r="G436" i="1"/>
  <c r="G522" i="1"/>
  <c r="G220" i="1"/>
  <c r="G99" i="1"/>
  <c r="G89" i="1"/>
  <c r="G928" i="1"/>
  <c r="G884" i="1"/>
  <c r="G228" i="1"/>
  <c r="G625" i="1"/>
  <c r="G281" i="1"/>
  <c r="G663" i="1"/>
  <c r="G173" i="1"/>
  <c r="G202" i="1"/>
  <c r="G225" i="1"/>
  <c r="G644" i="1"/>
  <c r="G50" i="1"/>
  <c r="G804" i="1"/>
  <c r="G948" i="1"/>
  <c r="G132" i="1"/>
  <c r="G392" i="1"/>
  <c r="G849" i="1"/>
  <c r="G632" i="1"/>
  <c r="G381" i="1"/>
  <c r="G260" i="1"/>
  <c r="G817" i="1"/>
  <c r="G664" i="1"/>
  <c r="G1000" i="1"/>
  <c r="G695" i="1"/>
  <c r="G887" i="1"/>
  <c r="G160" i="1"/>
  <c r="G531" i="1"/>
  <c r="G860" i="1"/>
  <c r="G917" i="1"/>
  <c r="G387" i="1"/>
  <c r="G430" i="1"/>
  <c r="G942" i="1"/>
  <c r="G313" i="1"/>
  <c r="G108" i="1"/>
  <c r="G250" i="1"/>
  <c r="G22" i="1"/>
  <c r="G259" i="1"/>
  <c r="G314" i="1"/>
  <c r="G914" i="1"/>
  <c r="G11" i="1"/>
  <c r="G639" i="1"/>
  <c r="G633" i="1"/>
  <c r="G79" i="1"/>
  <c r="G62" i="1"/>
  <c r="G215" i="1"/>
  <c r="G422" i="1"/>
  <c r="G744" i="1"/>
  <c r="G126" i="1"/>
  <c r="G382" i="1"/>
  <c r="G699" i="1"/>
  <c r="G795" i="1"/>
  <c r="G665" i="1"/>
  <c r="G811" i="1"/>
  <c r="G71" i="1"/>
  <c r="G929" i="1"/>
  <c r="G805" i="1"/>
  <c r="G42" i="1"/>
  <c r="G32" i="1"/>
  <c r="G80" i="1"/>
  <c r="G651" i="1"/>
  <c r="G162" i="1"/>
  <c r="G293" i="1"/>
  <c r="G362" i="1"/>
  <c r="G692" i="1"/>
  <c r="G165" i="1"/>
  <c r="G551" i="1"/>
  <c r="G901" i="1"/>
  <c r="G308" i="1"/>
  <c r="G969" i="1"/>
  <c r="G109" i="1"/>
  <c r="G500" i="1"/>
  <c r="G850" i="1"/>
  <c r="G268" i="1"/>
  <c r="G896" i="1"/>
  <c r="G570" i="1"/>
  <c r="G417" i="1"/>
  <c r="G596" i="1"/>
  <c r="G552" i="1"/>
  <c r="G571" i="1"/>
  <c r="G166" i="1"/>
  <c r="G273" i="1"/>
  <c r="G433" i="1"/>
  <c r="G488" i="1"/>
  <c r="G244" i="1"/>
  <c r="G970" i="1"/>
  <c r="G523" i="1"/>
  <c r="G949" i="1"/>
  <c r="G405" i="1"/>
  <c r="G646" i="1"/>
  <c r="G29" i="1"/>
  <c r="G467" i="1"/>
  <c r="G607" i="1"/>
  <c r="G383" i="1"/>
  <c r="G343" i="1"/>
  <c r="G519" i="1"/>
  <c r="G950" i="1"/>
  <c r="G994" i="1"/>
  <c r="G1001" i="1"/>
  <c r="G176" i="1"/>
  <c r="G792" i="1"/>
  <c r="G358" i="1"/>
  <c r="G315" i="1"/>
  <c r="G152" i="1"/>
  <c r="G110" i="1"/>
  <c r="G822" i="1"/>
  <c r="G483" i="1"/>
  <c r="G745" i="1"/>
  <c r="G193" i="1"/>
  <c r="G397" i="1"/>
  <c r="G256" i="1"/>
  <c r="G423" i="1"/>
  <c r="G915" i="1"/>
  <c r="G370" i="1"/>
  <c r="G686" i="1"/>
  <c r="G572" i="1"/>
  <c r="G842" i="1"/>
  <c r="G81" i="1"/>
  <c r="G634" i="1"/>
  <c r="G275" i="1"/>
  <c r="G188" i="1"/>
  <c r="G510" i="1"/>
  <c r="G640" i="1"/>
  <c r="G251" i="1"/>
  <c r="G1002" i="1"/>
  <c r="G888" i="1"/>
  <c r="G718" i="1"/>
  <c r="G733" i="1"/>
  <c r="G90" i="1"/>
  <c r="G51" i="1"/>
  <c r="G82" i="1"/>
  <c r="G489" i="1"/>
  <c r="G351" i="1"/>
  <c r="G719" i="1"/>
  <c r="G577" i="1"/>
  <c r="G626" i="1"/>
  <c r="G587" i="1"/>
  <c r="G418" i="1"/>
  <c r="G226" i="1"/>
  <c r="G819" i="1"/>
  <c r="G951" i="1"/>
  <c r="G133" i="1"/>
  <c r="G539" i="1"/>
  <c r="G578" i="1"/>
  <c r="G880" i="1"/>
  <c r="G30" i="1"/>
  <c r="G299" i="1"/>
  <c r="G300" i="1"/>
  <c r="G437" i="1"/>
  <c r="G621" i="1"/>
  <c r="G540" i="1"/>
  <c r="G344" i="1"/>
  <c r="G33" i="1"/>
  <c r="G471" i="1"/>
  <c r="G622" i="1"/>
  <c r="G245" i="1"/>
  <c r="G851" i="1"/>
  <c r="G793" i="1"/>
  <c r="G734" i="1"/>
  <c r="G995" i="1"/>
  <c r="G614" i="1"/>
  <c r="G553" i="1"/>
  <c r="G602" i="1"/>
  <c r="G615" i="1"/>
  <c r="G454" i="1"/>
  <c r="G772" i="1"/>
  <c r="G501" i="1"/>
  <c r="G177" i="1"/>
  <c r="G153" i="1"/>
  <c r="G127" i="1"/>
  <c r="G119" i="1"/>
  <c r="G490" i="1"/>
  <c r="G276" i="1"/>
  <c r="G781" i="1"/>
  <c r="G384" i="1"/>
  <c r="G852" i="1"/>
  <c r="G853" i="1"/>
  <c r="G83" i="1"/>
  <c r="G167" i="1"/>
  <c r="G17" i="1"/>
  <c r="G484" i="1"/>
  <c r="G91" i="1"/>
  <c r="G63" i="1"/>
  <c r="G532" i="1"/>
  <c r="G756" i="1"/>
  <c r="G740" i="1"/>
  <c r="G843" i="1"/>
  <c r="G971" i="1"/>
  <c r="G790" i="1"/>
  <c r="G221" i="1"/>
  <c r="G406" i="1"/>
  <c r="G703" i="1"/>
  <c r="G541" i="1"/>
  <c r="G111" i="1"/>
  <c r="G767" i="1"/>
  <c r="G463" i="1"/>
  <c r="G371" i="1"/>
  <c r="G84" i="1"/>
  <c r="G137" i="1"/>
  <c r="G495" i="1"/>
  <c r="G455" i="1"/>
  <c r="G168" i="1"/>
  <c r="G207" i="1"/>
  <c r="G112" i="1"/>
  <c r="G865" i="1"/>
  <c r="G542" i="1"/>
  <c r="G603" i="1"/>
  <c r="G75" i="1"/>
  <c r="G316" i="1"/>
  <c r="G301" i="1"/>
  <c r="G138" i="1"/>
  <c r="G938" i="1"/>
  <c r="G854" i="1"/>
  <c r="G696" i="1"/>
  <c r="G641" i="1"/>
  <c r="G64" i="1"/>
  <c r="G113" i="1"/>
  <c r="G325" i="1"/>
  <c r="G726" i="1"/>
  <c r="G237" i="1"/>
  <c r="G97" i="1"/>
  <c r="G943" i="1"/>
  <c r="G194" i="1"/>
  <c r="G34" i="1"/>
  <c r="G449" i="1"/>
  <c r="G169" i="1"/>
  <c r="G446" i="1"/>
  <c r="G996" i="1"/>
  <c r="G533" i="1"/>
  <c r="G485" i="1"/>
  <c r="G189" i="1"/>
  <c r="G930" i="1"/>
  <c r="G46" i="1"/>
  <c r="G589" i="1"/>
  <c r="G496" i="1"/>
  <c r="G922" i="1"/>
  <c r="G478" i="1"/>
  <c r="G363" i="1"/>
  <c r="G704" i="1"/>
  <c r="G400" i="1"/>
  <c r="G735" i="1"/>
  <c r="G561" i="1"/>
  <c r="G705" i="1"/>
  <c r="G359" i="1"/>
  <c r="G65" i="1"/>
  <c r="G645" i="1"/>
  <c r="G282" i="1"/>
  <c r="G952" i="1"/>
  <c r="G59" i="1"/>
  <c r="G269" i="1"/>
  <c r="G881" i="1"/>
  <c r="G527" i="1"/>
  <c r="G411" i="1"/>
  <c r="G785" i="1"/>
  <c r="G238" i="1"/>
  <c r="G450" i="1"/>
  <c r="G479" i="1"/>
  <c r="G635" i="1"/>
  <c r="G252" i="1"/>
  <c r="G977" i="1"/>
  <c r="G715" i="1"/>
  <c r="G658" i="1"/>
  <c r="G128" i="1"/>
  <c r="G304" i="1"/>
  <c r="G579" i="1"/>
  <c r="G623" i="1"/>
  <c r="G18" i="1"/>
  <c r="G174" i="1"/>
  <c r="G114" i="1"/>
  <c r="G246" i="1"/>
  <c r="G534" i="1"/>
  <c r="G52" i="1"/>
  <c r="G309" i="1"/>
  <c r="G706" i="1"/>
  <c r="G716" i="1"/>
  <c r="G568" i="1"/>
  <c r="G60" i="1"/>
  <c r="G502" i="1"/>
  <c r="G47" i="1"/>
  <c r="G834" i="1"/>
  <c r="G195" i="1"/>
  <c r="G720" i="1"/>
  <c r="G806" i="1"/>
  <c r="G261" i="1"/>
  <c r="G773" i="1"/>
  <c r="G923" i="1"/>
  <c r="G451" i="1"/>
  <c r="G797" i="1"/>
  <c r="G154" i="1"/>
  <c r="G283" i="1"/>
  <c r="G910" i="1"/>
  <c r="G23" i="1"/>
  <c r="G624" i="1"/>
  <c r="G984" i="1"/>
  <c r="G659" i="1"/>
  <c r="G310" i="1"/>
  <c r="G337" i="1"/>
  <c r="G978" i="1"/>
  <c r="G388" i="1"/>
  <c r="G12" i="1"/>
  <c r="G199" i="1"/>
  <c r="G330" i="1"/>
  <c r="G687" i="1"/>
  <c r="G844" i="1"/>
  <c r="G120" i="1"/>
  <c r="G505" i="1"/>
  <c r="G835" i="1"/>
  <c r="G988" i="1"/>
  <c r="G597" i="1"/>
  <c r="G807" i="1"/>
  <c r="G372" i="1"/>
  <c r="G364" i="1"/>
  <c r="G352" i="1"/>
  <c r="G580" i="1"/>
  <c r="G185" i="1"/>
  <c r="G636" i="1"/>
  <c r="G931" i="1"/>
  <c r="G317" i="1"/>
  <c r="G53" i="1"/>
  <c r="G642" i="1"/>
  <c r="G139" i="1"/>
  <c r="G367" i="1"/>
  <c r="G802" i="1"/>
  <c r="G627" i="1"/>
  <c r="G897" i="1"/>
  <c r="G962" i="1"/>
  <c r="G163" i="1"/>
  <c r="G288" i="1"/>
  <c r="G401" i="1"/>
  <c r="G681" i="1"/>
  <c r="G855" i="1"/>
  <c r="G393" i="1"/>
  <c r="G360" i="1"/>
  <c r="G284" i="1"/>
  <c r="G338" i="1"/>
  <c r="G535" i="1"/>
  <c r="G956" i="1"/>
  <c r="G707" i="1"/>
  <c r="G511" i="1"/>
  <c r="G289" i="1"/>
  <c r="G86" i="1"/>
  <c r="G647" i="1"/>
  <c r="G431" i="1"/>
  <c r="G757" i="1"/>
  <c r="G674" i="1"/>
  <c r="G311" i="1"/>
  <c r="G459" i="1"/>
  <c r="G979" i="1"/>
  <c r="G24" i="1"/>
  <c r="G652" i="1"/>
  <c r="G889" i="1"/>
  <c r="G206" i="1"/>
  <c r="G385" i="1"/>
  <c r="G721" i="1"/>
  <c r="G331" i="1"/>
  <c r="G677" i="1"/>
  <c r="G376" i="1"/>
  <c r="G902" i="1"/>
  <c r="G239" i="1"/>
  <c r="G616" i="1"/>
  <c r="G873" i="1"/>
  <c r="G373" i="1"/>
  <c r="G562" i="1"/>
  <c r="G747" i="1"/>
  <c r="G989" i="1"/>
  <c r="G277" i="1"/>
  <c r="G452" i="1"/>
  <c r="G985" i="1"/>
  <c r="G973" i="1"/>
  <c r="G997" i="1"/>
  <c r="G247" i="1"/>
  <c r="G472" i="1"/>
  <c r="G903" i="1"/>
  <c r="G794" i="1"/>
  <c r="G666" i="1"/>
  <c r="G13" i="1"/>
  <c r="G143" i="1"/>
  <c r="G628" i="1"/>
  <c r="G768" i="1"/>
  <c r="G590" i="1"/>
  <c r="G398" i="1"/>
  <c r="G441" i="1"/>
  <c r="G100" i="1"/>
  <c r="G722" i="1"/>
  <c r="G598" i="1"/>
  <c r="G473" i="1"/>
  <c r="G697" i="1"/>
  <c r="G270" i="1"/>
  <c r="G424" i="1"/>
  <c r="G717" i="1"/>
  <c r="G866" i="1"/>
  <c r="G432" i="1"/>
  <c r="G115" i="1"/>
  <c r="G170" i="1"/>
  <c r="G953" i="1"/>
  <c r="G867" i="1"/>
  <c r="G856" i="1"/>
  <c r="G208" i="1"/>
  <c r="G332" i="1"/>
  <c r="G808" i="1"/>
  <c r="G394" i="1"/>
  <c r="G318" i="1"/>
  <c r="G741" i="1"/>
  <c r="G974" i="1"/>
  <c r="G302" i="1"/>
  <c r="G857" i="1"/>
  <c r="G998" i="1"/>
  <c r="G438" i="1"/>
  <c r="G434" i="1"/>
  <c r="G827" i="1"/>
  <c r="G832" i="1"/>
  <c r="G963" i="1"/>
  <c r="G874" i="1"/>
  <c r="G748" i="1"/>
  <c r="G419" i="1"/>
  <c r="G904" i="1"/>
  <c r="G468" i="1"/>
  <c r="G544" i="1"/>
  <c r="G353" i="1"/>
  <c r="G340" i="1"/>
  <c r="G736" i="1"/>
  <c r="G262" i="1"/>
  <c r="G389" i="1"/>
  <c r="G944" i="1"/>
  <c r="G271" i="1"/>
  <c r="G407" i="1"/>
  <c r="G227" i="1"/>
  <c r="G786" i="1"/>
  <c r="G708" i="1"/>
  <c r="G591" i="1"/>
  <c r="G980" i="1"/>
  <c r="G667" i="1"/>
  <c r="G1003" i="1"/>
  <c r="G520" i="1"/>
  <c r="G377" i="1"/>
  <c r="G465" i="1"/>
  <c r="G486" i="1"/>
  <c r="G604" i="1"/>
  <c r="G608" i="1"/>
  <c r="G456" i="1"/>
  <c r="G345" i="1"/>
  <c r="G836" i="1"/>
  <c r="G290" i="1"/>
  <c r="G558" i="1"/>
  <c r="G890" i="1"/>
  <c r="G653" i="1"/>
  <c r="G14" i="1"/>
  <c r="G248" i="1"/>
  <c r="G412" i="1"/>
  <c r="G339" i="1"/>
  <c r="G15" i="1"/>
  <c r="G413" i="1"/>
  <c r="G72" i="1"/>
  <c r="G554" i="1"/>
  <c r="G555" i="1"/>
  <c r="G231" i="1"/>
  <c r="G543" i="1"/>
  <c r="G365" i="1"/>
  <c r="G763" i="1"/>
  <c r="G35" i="1"/>
  <c r="G729" i="1"/>
  <c r="G43" i="1"/>
  <c r="G536" i="1"/>
  <c r="G563" i="1"/>
  <c r="G171" i="1"/>
  <c r="G573" i="1"/>
  <c r="G861" i="1"/>
  <c r="G196" i="1"/>
  <c r="G918" i="1"/>
  <c r="G48" i="1"/>
  <c r="G140" i="1"/>
  <c r="G399" i="1"/>
  <c r="G654" i="1"/>
  <c r="G425" i="1"/>
  <c r="G229" i="1"/>
  <c r="G778" i="1"/>
  <c r="G232" i="1"/>
  <c r="G134" i="1"/>
  <c r="G497" i="1"/>
  <c r="G981" i="1"/>
  <c r="G678" i="1"/>
  <c r="G891" i="1"/>
  <c r="G609" i="1"/>
  <c r="G503" i="1"/>
  <c r="G957" i="1"/>
  <c r="G480" i="1"/>
  <c r="G305" i="1"/>
  <c r="G25" i="1"/>
  <c r="G66" i="1"/>
  <c r="G442" i="1"/>
  <c r="G521" i="1"/>
  <c r="G263" i="1"/>
  <c r="G408" i="1"/>
  <c r="G460" i="1"/>
  <c r="G498" i="1"/>
  <c r="G144" i="1"/>
  <c r="G285" i="1"/>
  <c r="G693" i="1"/>
  <c r="G464" i="1"/>
  <c r="G675" i="1"/>
  <c r="G742" i="1"/>
  <c r="G892" i="1"/>
  <c r="G426" i="1"/>
  <c r="G769" i="1"/>
  <c r="G135" i="1"/>
  <c r="G319" i="1"/>
  <c r="G36" i="1"/>
  <c r="G49" i="1"/>
  <c r="G749" i="1"/>
  <c r="G787" i="1"/>
</calcChain>
</file>

<file path=xl/sharedStrings.xml><?xml version="1.0" encoding="utf-8"?>
<sst xmlns="http://schemas.openxmlformats.org/spreadsheetml/2006/main" count="9204" uniqueCount="1474">
  <si>
    <t xml:space="preserve">Kps Stores Sales Report </t>
  </si>
  <si>
    <t>Index</t>
  </si>
  <si>
    <t>Order ID</t>
  </si>
  <si>
    <t>Date</t>
  </si>
  <si>
    <t>Month</t>
  </si>
  <si>
    <t>Customer Name</t>
  </si>
  <si>
    <t>Age</t>
  </si>
  <si>
    <t>Age Group</t>
  </si>
  <si>
    <t>Gender</t>
  </si>
  <si>
    <t>City</t>
  </si>
  <si>
    <t>Region</t>
  </si>
  <si>
    <t>Product Category</t>
  </si>
  <si>
    <t>Product Name</t>
  </si>
  <si>
    <t>Units Sold</t>
  </si>
  <si>
    <t>Unit Price (₹)</t>
  </si>
  <si>
    <t>Total Sales (₹)</t>
  </si>
  <si>
    <t>Payment Mode</t>
  </si>
  <si>
    <t>Delivery Days</t>
  </si>
  <si>
    <t>Customer Rating</t>
  </si>
  <si>
    <t>Repeat Purchase</t>
  </si>
  <si>
    <t>O1057</t>
  </si>
  <si>
    <t>Meera Bose</t>
  </si>
  <si>
    <t>Women</t>
  </si>
  <si>
    <t>Chennai</t>
  </si>
  <si>
    <t>North</t>
  </si>
  <si>
    <t>Apparel</t>
  </si>
  <si>
    <t>Jacket</t>
  </si>
  <si>
    <t>Net Banking</t>
  </si>
  <si>
    <t>No</t>
  </si>
  <si>
    <t>O1040</t>
  </si>
  <si>
    <t>Ishita Gupta</t>
  </si>
  <si>
    <t>Jaipur</t>
  </si>
  <si>
    <t>South</t>
  </si>
  <si>
    <t>Furniture</t>
  </si>
  <si>
    <t>Dining Table</t>
  </si>
  <si>
    <t>O1092</t>
  </si>
  <si>
    <t>Kavya Roy</t>
  </si>
  <si>
    <t>Mumbai</t>
  </si>
  <si>
    <t>Electronics</t>
  </si>
  <si>
    <t>Smartphone X</t>
  </si>
  <si>
    <t>O1096</t>
  </si>
  <si>
    <t>Ravi Singh</t>
  </si>
  <si>
    <t>Men</t>
  </si>
  <si>
    <t>Hyderabad</t>
  </si>
  <si>
    <t>Sports</t>
  </si>
  <si>
    <t>Gym Gloves</t>
  </si>
  <si>
    <t>Yes</t>
  </si>
  <si>
    <t>O1184</t>
  </si>
  <si>
    <t>Arjun Kapoor</t>
  </si>
  <si>
    <t>Pune</t>
  </si>
  <si>
    <t>West</t>
  </si>
  <si>
    <t>Groceries</t>
  </si>
  <si>
    <t>Eggs Pack</t>
  </si>
  <si>
    <t>Debit Card</t>
  </si>
  <si>
    <t>O1325</t>
  </si>
  <si>
    <t>Aarav Agarwal</t>
  </si>
  <si>
    <t>O1413</t>
  </si>
  <si>
    <t>Sneha Sharma</t>
  </si>
  <si>
    <t>O1532</t>
  </si>
  <si>
    <t>Raj Patel</t>
  </si>
  <si>
    <t>Olive Oil 1L</t>
  </si>
  <si>
    <t>Cash on Delivery</t>
  </si>
  <si>
    <t>O1791</t>
  </si>
  <si>
    <t>Meera Reddy</t>
  </si>
  <si>
    <t>Delhi</t>
  </si>
  <si>
    <t>East</t>
  </si>
  <si>
    <t>O1867</t>
  </si>
  <si>
    <t>Raj Sen</t>
  </si>
  <si>
    <t>O1938</t>
  </si>
  <si>
    <t>Vikram Patel</t>
  </si>
  <si>
    <t>Bengaluru</t>
  </si>
  <si>
    <t>Smartwatch Z</t>
  </si>
  <si>
    <t>O1942</t>
  </si>
  <si>
    <t>Arjun Sharma</t>
  </si>
  <si>
    <t>Rice 5kg</t>
  </si>
  <si>
    <t>O1353</t>
  </si>
  <si>
    <t>Meera Gupta</t>
  </si>
  <si>
    <t>Dress</t>
  </si>
  <si>
    <t>O1671</t>
  </si>
  <si>
    <t>Priya Verma</t>
  </si>
  <si>
    <t>Ahmedabad</t>
  </si>
  <si>
    <t>Camera L</t>
  </si>
  <si>
    <t>O1758</t>
  </si>
  <si>
    <t>Kavya Agarwal</t>
  </si>
  <si>
    <t>O1069</t>
  </si>
  <si>
    <t>Manish Singh</t>
  </si>
  <si>
    <t>Milk 1L</t>
  </si>
  <si>
    <t>O1151</t>
  </si>
  <si>
    <t>Vikram Gupta</t>
  </si>
  <si>
    <t>Bookshelf</t>
  </si>
  <si>
    <t>O1214</t>
  </si>
  <si>
    <t>Yoga Mat</t>
  </si>
  <si>
    <t>O1528</t>
  </si>
  <si>
    <t>Divya Singh</t>
  </si>
  <si>
    <t>Jeans</t>
  </si>
  <si>
    <t>O1783</t>
  </si>
  <si>
    <t>Laptop Pro</t>
  </si>
  <si>
    <t>O1840</t>
  </si>
  <si>
    <t>Kavya Verma</t>
  </si>
  <si>
    <t>UPI</t>
  </si>
  <si>
    <t>O1979</t>
  </si>
  <si>
    <t>Priya Mehta</t>
  </si>
  <si>
    <t>Kolkata</t>
  </si>
  <si>
    <t>O1206</t>
  </si>
  <si>
    <t>Priya Iyer</t>
  </si>
  <si>
    <t>O1384</t>
  </si>
  <si>
    <t>Sneha Chopra</t>
  </si>
  <si>
    <t>O1449</t>
  </si>
  <si>
    <t>Neha Kapoor</t>
  </si>
  <si>
    <t>O1582</t>
  </si>
  <si>
    <t>Raj Ghosh</t>
  </si>
  <si>
    <t>Coffee 500g</t>
  </si>
  <si>
    <t>O1637</t>
  </si>
  <si>
    <t>Sanya Agarwal</t>
  </si>
  <si>
    <t>O1382</t>
  </si>
  <si>
    <t>Vikram Sen</t>
  </si>
  <si>
    <t>Credit Card</t>
  </si>
  <si>
    <t>O1550</t>
  </si>
  <si>
    <t>O1644</t>
  </si>
  <si>
    <t>Arjun Singh</t>
  </si>
  <si>
    <t>Lucknow</t>
  </si>
  <si>
    <t>Cricket Bat</t>
  </si>
  <si>
    <t>O1715</t>
  </si>
  <si>
    <t>Neha Verma</t>
  </si>
  <si>
    <t>T-Shirt</t>
  </si>
  <si>
    <t>O1951</t>
  </si>
  <si>
    <t>Arjun Agarwal</t>
  </si>
  <si>
    <t>O1998</t>
  </si>
  <si>
    <t>Sanya Sharma</t>
  </si>
  <si>
    <t>O1029</t>
  </si>
  <si>
    <t>Aditya Chopra</t>
  </si>
  <si>
    <t>O1060</t>
  </si>
  <si>
    <t>Rohan Nair</t>
  </si>
  <si>
    <t>O1112</t>
  </si>
  <si>
    <t>Meera Sharma</t>
  </si>
  <si>
    <t>Tablet Plus</t>
  </si>
  <si>
    <t>O1190</t>
  </si>
  <si>
    <t>Ravi Verma</t>
  </si>
  <si>
    <t>O1349</t>
  </si>
  <si>
    <t>Arjun Patel</t>
  </si>
  <si>
    <t>O1549</t>
  </si>
  <si>
    <t>Aditya Mehta</t>
  </si>
  <si>
    <t>O1953</t>
  </si>
  <si>
    <t>Ananya Bhatia</t>
  </si>
  <si>
    <t>O1071</t>
  </si>
  <si>
    <t>O1193</t>
  </si>
  <si>
    <t>Sanya Sen</t>
  </si>
  <si>
    <t>O1724</t>
  </si>
  <si>
    <t>Manish Reddy</t>
  </si>
  <si>
    <t>O1770</t>
  </si>
  <si>
    <t>Pooja Sharma</t>
  </si>
  <si>
    <t>O1961</t>
  </si>
  <si>
    <t>Aarav Kapoor</t>
  </si>
  <si>
    <t>Office Chair</t>
  </si>
  <si>
    <t>O1999</t>
  </si>
  <si>
    <t>Kunal Agarwal</t>
  </si>
  <si>
    <t>O1504</t>
  </si>
  <si>
    <t>Kavya Ghosh</t>
  </si>
  <si>
    <t>O1621</t>
  </si>
  <si>
    <t>Sanya Mehta</t>
  </si>
  <si>
    <t>Sofa Set</t>
  </si>
  <si>
    <t>O1763</t>
  </si>
  <si>
    <t>Divya Malhotra</t>
  </si>
  <si>
    <t>O1810</t>
  </si>
  <si>
    <t>Manish Jain</t>
  </si>
  <si>
    <t>O1102</t>
  </si>
  <si>
    <t>Neha Reddy</t>
  </si>
  <si>
    <t>O1119</t>
  </si>
  <si>
    <t>Aditya Gupta</t>
  </si>
  <si>
    <t>O1312</t>
  </si>
  <si>
    <t>Ananya Malhotra</t>
  </si>
  <si>
    <t>O1375</t>
  </si>
  <si>
    <t>Kunal Chopra</t>
  </si>
  <si>
    <t>Bed Frame</t>
  </si>
  <si>
    <t>O1430</t>
  </si>
  <si>
    <t>Kunal Mehta</t>
  </si>
  <si>
    <t>O1740</t>
  </si>
  <si>
    <t>Ananya Roy</t>
  </si>
  <si>
    <t>Football</t>
  </si>
  <si>
    <t>O1768</t>
  </si>
  <si>
    <t>Ananya Patel</t>
  </si>
  <si>
    <t>O1277</t>
  </si>
  <si>
    <t>Sneha Reddy</t>
  </si>
  <si>
    <t>O1536</t>
  </si>
  <si>
    <t>Tanvi Reddy</t>
  </si>
  <si>
    <t>O1674</t>
  </si>
  <si>
    <t>Manish Agarwal</t>
  </si>
  <si>
    <t>O1707</t>
  </si>
  <si>
    <t>Manish Malhotra</t>
  </si>
  <si>
    <t>Sneakers</t>
  </si>
  <si>
    <t>O1736</t>
  </si>
  <si>
    <t>O1980</t>
  </si>
  <si>
    <t>Sanya Verma</t>
  </si>
  <si>
    <t>O1095</t>
  </si>
  <si>
    <t>Pooja Chopra</t>
  </si>
  <si>
    <t>O1248</t>
  </si>
  <si>
    <t>Raj Bose</t>
  </si>
  <si>
    <t>O1319</t>
  </si>
  <si>
    <t>O1458</t>
  </si>
  <si>
    <t>Priya Sharma</t>
  </si>
  <si>
    <t>O1546</t>
  </si>
  <si>
    <t>Rohan Singh</t>
  </si>
  <si>
    <t>O1944</t>
  </si>
  <si>
    <t>Arjun Mehta</t>
  </si>
  <si>
    <t>O1020</t>
  </si>
  <si>
    <t>O1487</t>
  </si>
  <si>
    <t>Sneha Gupta</t>
  </si>
  <si>
    <t>O1699</t>
  </si>
  <si>
    <t>Kavya Sharma</t>
  </si>
  <si>
    <t>O1025</t>
  </si>
  <si>
    <t>O1166</t>
  </si>
  <si>
    <t>Raj Chopra</t>
  </si>
  <si>
    <t>O1246</t>
  </si>
  <si>
    <t>Ishita Jain</t>
  </si>
  <si>
    <t>O1535</t>
  </si>
  <si>
    <t>Aditya Roy</t>
  </si>
  <si>
    <t>O1551</t>
  </si>
  <si>
    <t>Vikram Jain</t>
  </si>
  <si>
    <t>O1609</t>
  </si>
  <si>
    <t>Raj Roy</t>
  </si>
  <si>
    <t>O1622</t>
  </si>
  <si>
    <t>Ishita Patel</t>
  </si>
  <si>
    <t>O1669</t>
  </si>
  <si>
    <t>Priya Reddy</t>
  </si>
  <si>
    <t>Tennis Racket</t>
  </si>
  <si>
    <t>O1689</t>
  </si>
  <si>
    <t>O1293</t>
  </si>
  <si>
    <t>Sneha Sen</t>
  </si>
  <si>
    <t>O1832</t>
  </si>
  <si>
    <t>Raj Malhotra</t>
  </si>
  <si>
    <t>O1105</t>
  </si>
  <si>
    <t>Vikram Verma</t>
  </si>
  <si>
    <t>O1118</t>
  </si>
  <si>
    <t>Tanvi Sharma</t>
  </si>
  <si>
    <t>O1493</t>
  </si>
  <si>
    <t>Sneha Jain</t>
  </si>
  <si>
    <t>O1620</t>
  </si>
  <si>
    <t>Ananya Chopra</t>
  </si>
  <si>
    <t>O1673</t>
  </si>
  <si>
    <t>Divya Agarwal</t>
  </si>
  <si>
    <t>O1066</t>
  </si>
  <si>
    <t>Raj Singh</t>
  </si>
  <si>
    <t>O1364</t>
  </si>
  <si>
    <t>Divya Roy</t>
  </si>
  <si>
    <t>O1138</t>
  </si>
  <si>
    <t>O1416</t>
  </si>
  <si>
    <t>Sneha Bhatia</t>
  </si>
  <si>
    <t>O1450</t>
  </si>
  <si>
    <t>Neha Roy</t>
  </si>
  <si>
    <t>O1712</t>
  </si>
  <si>
    <t>Meera Nair</t>
  </si>
  <si>
    <t>O1171</t>
  </si>
  <si>
    <t>Neha Jain</t>
  </si>
  <si>
    <t>O1492</t>
  </si>
  <si>
    <t>Aarav Mehta</t>
  </si>
  <si>
    <t>O1874</t>
  </si>
  <si>
    <t>Kunal Roy</t>
  </si>
  <si>
    <t>O1121</t>
  </si>
  <si>
    <t>O1130</t>
  </si>
  <si>
    <t>O1471</t>
  </si>
  <si>
    <t>Arjun Iyer</t>
  </si>
  <si>
    <t>O1055</t>
  </si>
  <si>
    <t>Pooja Verma</t>
  </si>
  <si>
    <t>O1089</t>
  </si>
  <si>
    <t>O1207</t>
  </si>
  <si>
    <t>Ishita Iyer</t>
  </si>
  <si>
    <t>O1378</t>
  </si>
  <si>
    <t>O1526</t>
  </si>
  <si>
    <t>O1562</t>
  </si>
  <si>
    <t>Vikram Kapoor</t>
  </si>
  <si>
    <t>O1596</t>
  </si>
  <si>
    <t>Neha Sharma</t>
  </si>
  <si>
    <t>O1685</t>
  </si>
  <si>
    <t>Sneha Ghosh</t>
  </si>
  <si>
    <t>O1695</t>
  </si>
  <si>
    <t>O1708</t>
  </si>
  <si>
    <t>O1760</t>
  </si>
  <si>
    <t>O1884</t>
  </si>
  <si>
    <t>Kavya Bose</t>
  </si>
  <si>
    <t>O1216</t>
  </si>
  <si>
    <t>Meera Verma</t>
  </si>
  <si>
    <t>O1329</t>
  </si>
  <si>
    <t>Rohan Malhotra</t>
  </si>
  <si>
    <t>O1425</t>
  </si>
  <si>
    <t>Kunal Jain</t>
  </si>
  <si>
    <t>O1662</t>
  </si>
  <si>
    <t>Priya Das</t>
  </si>
  <si>
    <t>O1796</t>
  </si>
  <si>
    <t>Manish Bhatia</t>
  </si>
  <si>
    <t>O1018</t>
  </si>
  <si>
    <t>Pooja Iyer</t>
  </si>
  <si>
    <t>O1298</t>
  </si>
  <si>
    <t>Ishita Nair</t>
  </si>
  <si>
    <t>O1323</t>
  </si>
  <si>
    <t>Ravi Roy</t>
  </si>
  <si>
    <t>O1397</t>
  </si>
  <si>
    <t>Priya Bose</t>
  </si>
  <si>
    <t>O1418</t>
  </si>
  <si>
    <t>Tanvi Verma</t>
  </si>
  <si>
    <t>O1540</t>
  </si>
  <si>
    <t>Arjun Malhotra</t>
  </si>
  <si>
    <t>O1661</t>
  </si>
  <si>
    <t>Vikram Nair</t>
  </si>
  <si>
    <t>O1754</t>
  </si>
  <si>
    <t>Aarav Singh</t>
  </si>
  <si>
    <t>O1016</t>
  </si>
  <si>
    <t>O1229</t>
  </si>
  <si>
    <t>O1286</t>
  </si>
  <si>
    <t>Pooja Jain</t>
  </si>
  <si>
    <t>O1507</t>
  </si>
  <si>
    <t>O1633</t>
  </si>
  <si>
    <t>Kavya Iyer</t>
  </si>
  <si>
    <t>O1969</t>
  </si>
  <si>
    <t>Pooja Bose</t>
  </si>
  <si>
    <t>O1996</t>
  </si>
  <si>
    <t>O1148</t>
  </si>
  <si>
    <t>O1690</t>
  </si>
  <si>
    <t>Meera Mehta</t>
  </si>
  <si>
    <t>O1702</t>
  </si>
  <si>
    <t>Rohan Ghosh</t>
  </si>
  <si>
    <t>O1812</t>
  </si>
  <si>
    <t>O1962</t>
  </si>
  <si>
    <t>Aarav Reddy</t>
  </si>
  <si>
    <t>O1181</t>
  </si>
  <si>
    <t>Aarav Das</t>
  </si>
  <si>
    <t>O1356</t>
  </si>
  <si>
    <t>Sneha Malhotra</t>
  </si>
  <si>
    <t>O1868</t>
  </si>
  <si>
    <t>Meera Das</t>
  </si>
  <si>
    <t>O1987</t>
  </si>
  <si>
    <t>O1137</t>
  </si>
  <si>
    <t>Meera Roy</t>
  </si>
  <si>
    <t>O1173</t>
  </si>
  <si>
    <t>Priya Patel</t>
  </si>
  <si>
    <t>O1180</t>
  </si>
  <si>
    <t>Rohan Jain</t>
  </si>
  <si>
    <t>O1189</t>
  </si>
  <si>
    <t>Aarav Verma</t>
  </si>
  <si>
    <t>O1322</t>
  </si>
  <si>
    <t>Aarav Sen</t>
  </si>
  <si>
    <t>O1390</t>
  </si>
  <si>
    <t>Manish Iyer</t>
  </si>
  <si>
    <t>O1404</t>
  </si>
  <si>
    <t>Kunal Patel</t>
  </si>
  <si>
    <t>O1595</t>
  </si>
  <si>
    <t>Ravi Nair</t>
  </si>
  <si>
    <t>O1660</t>
  </si>
  <si>
    <t>Meera Jain</t>
  </si>
  <si>
    <t>O1780</t>
  </si>
  <si>
    <t>Neha Nair</t>
  </si>
  <si>
    <t>O1012</t>
  </si>
  <si>
    <t>O1026</t>
  </si>
  <si>
    <t>Rohan Roy</t>
  </si>
  <si>
    <t>O1114</t>
  </si>
  <si>
    <t>Sneha Nair</t>
  </si>
  <si>
    <t>O1279</t>
  </si>
  <si>
    <t>Manish Sharma</t>
  </si>
  <si>
    <t>O1457</t>
  </si>
  <si>
    <t>Manish Mehta</t>
  </si>
  <si>
    <t>O1518</t>
  </si>
  <si>
    <t>O1247</t>
  </si>
  <si>
    <t>O1553</t>
  </si>
  <si>
    <t>Ravi Bhatia</t>
  </si>
  <si>
    <t>O1818</t>
  </si>
  <si>
    <t>O1065</t>
  </si>
  <si>
    <t>O1557</t>
  </si>
  <si>
    <t>Ananya Nair</t>
  </si>
  <si>
    <t>O1572</t>
  </si>
  <si>
    <t>O1670</t>
  </si>
  <si>
    <t>O1693</t>
  </si>
  <si>
    <t>O1717</t>
  </si>
  <si>
    <t>Ishita Das</t>
  </si>
  <si>
    <t>O1885</t>
  </si>
  <si>
    <t>Vikram Bose</t>
  </si>
  <si>
    <t>O1956</t>
  </si>
  <si>
    <t>O1272</t>
  </si>
  <si>
    <t>Ishita Sharma</t>
  </si>
  <si>
    <t>O1500</t>
  </si>
  <si>
    <t>Pooja Singh</t>
  </si>
  <si>
    <t>O1759</t>
  </si>
  <si>
    <t>Aditya Bhatia</t>
  </si>
  <si>
    <t>O1044</t>
  </si>
  <si>
    <t>O1591</t>
  </si>
  <si>
    <t>Raj Agarwal</t>
  </si>
  <si>
    <t>O1659</t>
  </si>
  <si>
    <t>Ravi Das</t>
  </si>
  <si>
    <t>O1084</t>
  </si>
  <si>
    <t>O1296</t>
  </si>
  <si>
    <t>O1350</t>
  </si>
  <si>
    <t>Divya Iyer</t>
  </si>
  <si>
    <t>O1399</t>
  </si>
  <si>
    <t>Aditya Jain</t>
  </si>
  <si>
    <t>O1405</t>
  </si>
  <si>
    <t>O1434</t>
  </si>
  <si>
    <t>Sanya Malhotra</t>
  </si>
  <si>
    <t>O1465</t>
  </si>
  <si>
    <t>O1806</t>
  </si>
  <si>
    <t>Vikram Agarwal</t>
  </si>
  <si>
    <t>O1391</t>
  </si>
  <si>
    <t>Divya Bhatia</t>
  </si>
  <si>
    <t>O1428</t>
  </si>
  <si>
    <t>O1612</t>
  </si>
  <si>
    <t>Rohan Gupta</t>
  </si>
  <si>
    <t>O1722</t>
  </si>
  <si>
    <t>O1113</t>
  </si>
  <si>
    <t>Neha Gupta</t>
  </si>
  <si>
    <t>O1147</t>
  </si>
  <si>
    <t>Priya Bhatia</t>
  </si>
  <si>
    <t>O1267</t>
  </si>
  <si>
    <t>Aditya Kapoor</t>
  </si>
  <si>
    <t>O1600</t>
  </si>
  <si>
    <t>O1714</t>
  </si>
  <si>
    <t>Ravi Agarwal</t>
  </si>
  <si>
    <t>O1772</t>
  </si>
  <si>
    <t>Kunal Bose</t>
  </si>
  <si>
    <t>O1959</t>
  </si>
  <si>
    <t>Ravi Sharma</t>
  </si>
  <si>
    <t>O1254</t>
  </si>
  <si>
    <t>Sanya Bhatia</t>
  </si>
  <si>
    <t>O1482</t>
  </si>
  <si>
    <t>O1792</t>
  </si>
  <si>
    <t>Aditya Singh</t>
  </si>
  <si>
    <t>O1238</t>
  </si>
  <si>
    <t>O1401</t>
  </si>
  <si>
    <t>O1501</t>
  </si>
  <si>
    <t>O1101</t>
  </si>
  <si>
    <t>Tanvi Das</t>
  </si>
  <si>
    <t>O1143</t>
  </si>
  <si>
    <t>Meera Sen</t>
  </si>
  <si>
    <t>O1445</t>
  </si>
  <si>
    <t>Vikram Chopra</t>
  </si>
  <si>
    <t>O1843</t>
  </si>
  <si>
    <t>O1694</t>
  </si>
  <si>
    <t>O1889</t>
  </si>
  <si>
    <t>Ananya Agarwal</t>
  </si>
  <si>
    <t>O1093</t>
  </si>
  <si>
    <t>O1135</t>
  </si>
  <si>
    <t>O1156</t>
  </si>
  <si>
    <t>O1348</t>
  </si>
  <si>
    <t>Kavya Jain</t>
  </si>
  <si>
    <t>O1131</t>
  </si>
  <si>
    <t>O1199</t>
  </si>
  <si>
    <t>Tanvi Agarwal</t>
  </si>
  <si>
    <t>O1537</t>
  </si>
  <si>
    <t>O1072</t>
  </si>
  <si>
    <t>Rohan Bhatia</t>
  </si>
  <si>
    <t>O1100</t>
  </si>
  <si>
    <t>Sanya Roy</t>
  </si>
  <si>
    <t>O1144</t>
  </si>
  <si>
    <t>Tanvi Ghosh</t>
  </si>
  <si>
    <t>O1257</t>
  </si>
  <si>
    <t>Aditya Sen</t>
  </si>
  <si>
    <t>O1491</t>
  </si>
  <si>
    <t>O1681</t>
  </si>
  <si>
    <t>Divya Gupta</t>
  </si>
  <si>
    <t>O1036</t>
  </si>
  <si>
    <t>Divya Bose</t>
  </si>
  <si>
    <t>O1327</t>
  </si>
  <si>
    <t>Ishita Ghosh</t>
  </si>
  <si>
    <t>O1423</t>
  </si>
  <si>
    <t>O1502</t>
  </si>
  <si>
    <t>Arjun Bhatia</t>
  </si>
  <si>
    <t>O1630</t>
  </si>
  <si>
    <t>Sneha Verma</t>
  </si>
  <si>
    <t>O1918</t>
  </si>
  <si>
    <t>Arjun Gupta</t>
  </si>
  <si>
    <t>O1496</t>
  </si>
  <si>
    <t>Ishita Chopra</t>
  </si>
  <si>
    <t>O1966</t>
  </si>
  <si>
    <t>Aarav Roy</t>
  </si>
  <si>
    <t>O1054</t>
  </si>
  <si>
    <t>Neha Malhotra</t>
  </si>
  <si>
    <t>O1947</t>
  </si>
  <si>
    <t>O1968</t>
  </si>
  <si>
    <t>Raj Kapoor</t>
  </si>
  <si>
    <t>O1017</t>
  </si>
  <si>
    <t>Ananya Bose</t>
  </si>
  <si>
    <t>O1082</t>
  </si>
  <si>
    <t>O1412</t>
  </si>
  <si>
    <t>Vikram Mehta</t>
  </si>
  <si>
    <t>O1427</t>
  </si>
  <si>
    <t>O1711</t>
  </si>
  <si>
    <t>O1746</t>
  </si>
  <si>
    <t>O1850</t>
  </si>
  <si>
    <t>Ananya Sharma</t>
  </si>
  <si>
    <t>O1052</t>
  </si>
  <si>
    <t>O1307</t>
  </si>
  <si>
    <t>O1358</t>
  </si>
  <si>
    <t>O1408</t>
  </si>
  <si>
    <t>O1576</t>
  </si>
  <si>
    <t>Sanya Ghosh</t>
  </si>
  <si>
    <t>O1647</t>
  </si>
  <si>
    <t>Meera Malhotra</t>
  </si>
  <si>
    <t>O1761</t>
  </si>
  <si>
    <t>Raj Iyer</t>
  </si>
  <si>
    <t>O1862</t>
  </si>
  <si>
    <t>Sanya Gupta</t>
  </si>
  <si>
    <t>O1939</t>
  </si>
  <si>
    <t>Priya Nair</t>
  </si>
  <si>
    <t>O1139</t>
  </si>
  <si>
    <t>Sanya Patel</t>
  </si>
  <si>
    <t>O1527</t>
  </si>
  <si>
    <t>O1615</t>
  </si>
  <si>
    <t>Vikram Malhotra</t>
  </si>
  <si>
    <t>O1750</t>
  </si>
  <si>
    <t>O1233</t>
  </si>
  <si>
    <t>Divya Nair</t>
  </si>
  <si>
    <t>O1337</t>
  </si>
  <si>
    <t>Pooja Bhatia</t>
  </si>
  <si>
    <t>O1461</t>
  </si>
  <si>
    <t>Vikram Roy</t>
  </si>
  <si>
    <t>O1602</t>
  </si>
  <si>
    <t>Aditya Das</t>
  </si>
  <si>
    <t>O1212</t>
  </si>
  <si>
    <t>O1388</t>
  </si>
  <si>
    <t>O1529</t>
  </si>
  <si>
    <t>O1512</t>
  </si>
  <si>
    <t>O1775</t>
  </si>
  <si>
    <t>O1913</t>
  </si>
  <si>
    <t>Ananya Iyer</t>
  </si>
  <si>
    <t>O1983</t>
  </si>
  <si>
    <t>Ananya Ghosh</t>
  </si>
  <si>
    <t>O1125</t>
  </si>
  <si>
    <t>O1167</t>
  </si>
  <si>
    <t>Aditya Verma</t>
  </si>
  <si>
    <t>O1205</t>
  </si>
  <si>
    <t>Ravi Malhotra</t>
  </si>
  <si>
    <t>O1373</t>
  </si>
  <si>
    <t>O1565</t>
  </si>
  <si>
    <t>Rohan Patel</t>
  </si>
  <si>
    <t>O1741</t>
  </si>
  <si>
    <t>Neha Sen</t>
  </si>
  <si>
    <t>O1879</t>
  </si>
  <si>
    <t>O1916</t>
  </si>
  <si>
    <t>Priya Agarwal</t>
  </si>
  <si>
    <t>O1002</t>
  </si>
  <si>
    <t>Pooja Patel</t>
  </si>
  <si>
    <t>O1573</t>
  </si>
  <si>
    <t>Kavya Mehta</t>
  </si>
  <si>
    <t>O1377</t>
  </si>
  <si>
    <t>O1611</t>
  </si>
  <si>
    <t>Aditya Bose</t>
  </si>
  <si>
    <t>O1664</t>
  </si>
  <si>
    <t>Ravi Bose</t>
  </si>
  <si>
    <t>O1857</t>
  </si>
  <si>
    <t>Kunal Iyer</t>
  </si>
  <si>
    <t>O1014</t>
  </si>
  <si>
    <t>Rohan Kapoor</t>
  </si>
  <si>
    <t>O1221</t>
  </si>
  <si>
    <t>Divya Sharma</t>
  </si>
  <si>
    <t>O1484</t>
  </si>
  <si>
    <t>Aarav Jain</t>
  </si>
  <si>
    <t>O1498</t>
  </si>
  <si>
    <t>Ananya Singh</t>
  </si>
  <si>
    <t>O1738</t>
  </si>
  <si>
    <t>Arjun Bose</t>
  </si>
  <si>
    <t>O1781</t>
  </si>
  <si>
    <t>Sanya Chopra</t>
  </si>
  <si>
    <t>O1825</t>
  </si>
  <si>
    <t>O1988</t>
  </si>
  <si>
    <t>Pooja Nair</t>
  </si>
  <si>
    <t>O1007</t>
  </si>
  <si>
    <t>O1347</t>
  </si>
  <si>
    <t>O1819</t>
  </si>
  <si>
    <t>Meera Ghosh</t>
  </si>
  <si>
    <t>O1831</t>
  </si>
  <si>
    <t>O1934</t>
  </si>
  <si>
    <t>Pooja Agarwal</t>
  </si>
  <si>
    <t>O1237</t>
  </si>
  <si>
    <t>Sanya Nair</t>
  </si>
  <si>
    <t>O1374</t>
  </si>
  <si>
    <t>Raj Gupta</t>
  </si>
  <si>
    <t>O1554</t>
  </si>
  <si>
    <t>O1074</t>
  </si>
  <si>
    <t>O1080</t>
  </si>
  <si>
    <t>O1123</t>
  </si>
  <si>
    <t>Ishita Reddy</t>
  </si>
  <si>
    <t>O1241</t>
  </si>
  <si>
    <t>Ishita Kapoor</t>
  </si>
  <si>
    <t>O1360</t>
  </si>
  <si>
    <t>Meera Kapoor</t>
  </si>
  <si>
    <t>O1638</t>
  </si>
  <si>
    <t>O1639</t>
  </si>
  <si>
    <t>Sanya Bose</t>
  </si>
  <si>
    <t>O1701</t>
  </si>
  <si>
    <t>O1896</t>
  </si>
  <si>
    <t>O1117</t>
  </si>
  <si>
    <t>O1755</t>
  </si>
  <si>
    <t>Pooja Gupta</t>
  </si>
  <si>
    <t>O1978</t>
  </si>
  <si>
    <t>O1023</t>
  </si>
  <si>
    <t>O1379</t>
  </si>
  <si>
    <t>O1560</t>
  </si>
  <si>
    <t>Ravi Kapoor</t>
  </si>
  <si>
    <t>O1764</t>
  </si>
  <si>
    <t>Rohan Sen</t>
  </si>
  <si>
    <t>O1787</t>
  </si>
  <si>
    <t>Kunal Singh</t>
  </si>
  <si>
    <t>O1837</t>
  </si>
  <si>
    <t>O1235</t>
  </si>
  <si>
    <t>Pooja Malhotra</t>
  </si>
  <si>
    <t>O1525</t>
  </si>
  <si>
    <t>O1530</t>
  </si>
  <si>
    <t>Ishita Agarwal</t>
  </si>
  <si>
    <t>O1594</t>
  </si>
  <si>
    <t>Aditya Iyer</t>
  </si>
  <si>
    <t>O1700</t>
  </si>
  <si>
    <t>Ravi Reddy</t>
  </si>
  <si>
    <t>O1809</t>
  </si>
  <si>
    <t>O1893</t>
  </si>
  <si>
    <t>Ishita Bhatia</t>
  </si>
  <si>
    <t>O1997</t>
  </si>
  <si>
    <t>O1031</t>
  </si>
  <si>
    <t>Neha Singh</t>
  </si>
  <si>
    <t>O1077</t>
  </si>
  <si>
    <t>Ravi Gupta</t>
  </si>
  <si>
    <t>O1170</t>
  </si>
  <si>
    <t>Ravi Mehta</t>
  </si>
  <si>
    <t>O1383</t>
  </si>
  <si>
    <t>O1407</t>
  </si>
  <si>
    <t>O1709</t>
  </si>
  <si>
    <t>Aarav Ghosh</t>
  </si>
  <si>
    <t>O1030</t>
  </si>
  <si>
    <t>O1333</t>
  </si>
  <si>
    <t>Kavya Singh</t>
  </si>
  <si>
    <t>O1435</t>
  </si>
  <si>
    <t>Pooja Mehta</t>
  </si>
  <si>
    <t>O1486</t>
  </si>
  <si>
    <t>O1793</t>
  </si>
  <si>
    <t>O1846</t>
  </si>
  <si>
    <t>O1890</t>
  </si>
  <si>
    <t>O1008</t>
  </si>
  <si>
    <t>Manish Nair</t>
  </si>
  <si>
    <t>O1013</t>
  </si>
  <si>
    <t>O1024</t>
  </si>
  <si>
    <t>O1078</t>
  </si>
  <si>
    <t>Ananya Verma</t>
  </si>
  <si>
    <t>O1788</t>
  </si>
  <si>
    <t>O1826</t>
  </si>
  <si>
    <t>Kunal Sen</t>
  </si>
  <si>
    <t>O1941</t>
  </si>
  <si>
    <t>O1911</t>
  </si>
  <si>
    <t>Tanvi Bhatia</t>
  </si>
  <si>
    <t>O1226</t>
  </si>
  <si>
    <t>Pooja Das</t>
  </si>
  <si>
    <t>O1234</t>
  </si>
  <si>
    <t>O1586</t>
  </si>
  <si>
    <t>Pooja Kapoor</t>
  </si>
  <si>
    <t>O1643</t>
  </si>
  <si>
    <t>O1932</t>
  </si>
  <si>
    <t>O1053</t>
  </si>
  <si>
    <t>O1122</t>
  </si>
  <si>
    <t>Neha Das</t>
  </si>
  <si>
    <t>O1252</t>
  </si>
  <si>
    <t>O1310</t>
  </si>
  <si>
    <t>Ishita Roy</t>
  </si>
  <si>
    <t>O1415</t>
  </si>
  <si>
    <t>Priya Jain</t>
  </si>
  <si>
    <t>O1624</t>
  </si>
  <si>
    <t>O1804</t>
  </si>
  <si>
    <t>Aarav Iyer</t>
  </si>
  <si>
    <t>O1910</t>
  </si>
  <si>
    <t>O1049</t>
  </si>
  <si>
    <t>O1081</t>
  </si>
  <si>
    <t>O1215</t>
  </si>
  <si>
    <t>O1311</t>
  </si>
  <si>
    <t>Manish Ghosh</t>
  </si>
  <si>
    <t>O1593</t>
  </si>
  <si>
    <t>O1735</t>
  </si>
  <si>
    <t>Kunal Reddy</t>
  </si>
  <si>
    <t>O1824</t>
  </si>
  <si>
    <t>O1426</t>
  </si>
  <si>
    <t>Aarav Nair</t>
  </si>
  <si>
    <t>O1555</t>
  </si>
  <si>
    <t>Rohan Mehta</t>
  </si>
  <si>
    <t>O1729</t>
  </si>
  <si>
    <t>O1803</t>
  </si>
  <si>
    <t>O1949</t>
  </si>
  <si>
    <t>Kunal Kapoor</t>
  </si>
  <si>
    <t>O1019</t>
  </si>
  <si>
    <t>O1813</t>
  </si>
  <si>
    <t>O1222</t>
  </si>
  <si>
    <t>Kunal Gupta</t>
  </si>
  <si>
    <t>O1355</t>
  </si>
  <si>
    <t>O1605</t>
  </si>
  <si>
    <t>Tanvi Sen</t>
  </si>
  <si>
    <t>O1688</t>
  </si>
  <si>
    <t>Sneha Mehta</t>
  </si>
  <si>
    <t>O1802</t>
  </si>
  <si>
    <t>O1853</t>
  </si>
  <si>
    <t>O1290</t>
  </si>
  <si>
    <t>Tanvi Roy</t>
  </si>
  <si>
    <t>O1472</t>
  </si>
  <si>
    <t>O1848</t>
  </si>
  <si>
    <t>O1926</t>
  </si>
  <si>
    <t>Tanvi Kapoor</t>
  </si>
  <si>
    <t>O1160</t>
  </si>
  <si>
    <t>O1164</t>
  </si>
  <si>
    <t>O1262</t>
  </si>
  <si>
    <t>O1511</t>
  </si>
  <si>
    <t>O1541</t>
  </si>
  <si>
    <t>O1585</t>
  </si>
  <si>
    <t>Rohan Chopra</t>
  </si>
  <si>
    <t>O1666</t>
  </si>
  <si>
    <t>O1844</t>
  </si>
  <si>
    <t>O1411</t>
  </si>
  <si>
    <t>Aditya Patel</t>
  </si>
  <si>
    <t>O1522</t>
  </si>
  <si>
    <t>O1790</t>
  </si>
  <si>
    <t>O1914</t>
  </si>
  <si>
    <t>Sneha Kapoor</t>
  </si>
  <si>
    <t>O1168</t>
  </si>
  <si>
    <t>Raj Reddy</t>
  </si>
  <si>
    <t>O1376</t>
  </si>
  <si>
    <t>O1508</t>
  </si>
  <si>
    <t>Priya Kapoor</t>
  </si>
  <si>
    <t>O1823</t>
  </si>
  <si>
    <t>Ananya Sen</t>
  </si>
  <si>
    <t>O1892</t>
  </si>
  <si>
    <t>O1255</t>
  </si>
  <si>
    <t>Raj Mehta</t>
  </si>
  <si>
    <t>O1270</t>
  </si>
  <si>
    <t>Manish Verma</t>
  </si>
  <si>
    <t>O1601</t>
  </si>
  <si>
    <t>Sanya Kapoor</t>
  </si>
  <si>
    <t>O1872</t>
  </si>
  <si>
    <t>O1963</t>
  </si>
  <si>
    <t>O1731</t>
  </si>
  <si>
    <t>Arjun Reddy</t>
  </si>
  <si>
    <t>O1820</t>
  </si>
  <si>
    <t>O1070</t>
  </si>
  <si>
    <t>Ravi Ghosh</t>
  </si>
  <si>
    <t>O1134</t>
  </si>
  <si>
    <t>O1477</t>
  </si>
  <si>
    <t>O1580</t>
  </si>
  <si>
    <t>O1682</t>
  </si>
  <si>
    <t>O1917</t>
  </si>
  <si>
    <t>Ishita Verma</t>
  </si>
  <si>
    <t>O1984</t>
  </si>
  <si>
    <t>O1103</t>
  </si>
  <si>
    <t>O1202</t>
  </si>
  <si>
    <t>O1744</t>
  </si>
  <si>
    <t>O1940</t>
  </si>
  <si>
    <t>Kavya Sen</t>
  </si>
  <si>
    <t>O1943</t>
  </si>
  <si>
    <t>Meera Chopra</t>
  </si>
  <si>
    <t>O1140</t>
  </si>
  <si>
    <t>O1228</t>
  </si>
  <si>
    <t>Manish Das</t>
  </si>
  <si>
    <t>O1452</t>
  </si>
  <si>
    <t>O1568</t>
  </si>
  <si>
    <t>O1629</t>
  </si>
  <si>
    <t>Tanvi Mehta</t>
  </si>
  <si>
    <t>O1906</t>
  </si>
  <si>
    <t>O1245</t>
  </si>
  <si>
    <t>O1309</t>
  </si>
  <si>
    <t>O1538</t>
  </si>
  <si>
    <t>Aarav Gupta</t>
  </si>
  <si>
    <t>O1603</t>
  </si>
  <si>
    <t>O1880</t>
  </si>
  <si>
    <t>O1965</t>
  </si>
  <si>
    <t>O1994</t>
  </si>
  <si>
    <t>O1099</t>
  </si>
  <si>
    <t>Kavya Das</t>
  </si>
  <si>
    <t>O1150</t>
  </si>
  <si>
    <t>Sneha Bose</t>
  </si>
  <si>
    <t>O1398</t>
  </si>
  <si>
    <t>O1523</t>
  </si>
  <si>
    <t>O1834</t>
  </si>
  <si>
    <t>O1883</t>
  </si>
  <si>
    <t>Vikram Iyer</t>
  </si>
  <si>
    <t>O1574</t>
  </si>
  <si>
    <t>O1900</t>
  </si>
  <si>
    <t>O1264</t>
  </si>
  <si>
    <t>Pooja Ghosh</t>
  </si>
  <si>
    <t>O1489</t>
  </si>
  <si>
    <t>O1640</t>
  </si>
  <si>
    <t>Pooja Sen</t>
  </si>
  <si>
    <t>O1899</t>
  </si>
  <si>
    <t>Divya Jain</t>
  </si>
  <si>
    <t>O1046</t>
  </si>
  <si>
    <t>O1067</t>
  </si>
  <si>
    <t>Vikram Ghosh</t>
  </si>
  <si>
    <t>O1873</t>
  </si>
  <si>
    <t>O1981</t>
  </si>
  <si>
    <t>Tanvi Bose</t>
  </si>
  <si>
    <t>O1191</t>
  </si>
  <si>
    <t>O1195</t>
  </si>
  <si>
    <t>Ishita Bose</t>
  </si>
  <si>
    <t>O1481</t>
  </si>
  <si>
    <t>O1718</t>
  </si>
  <si>
    <t>Priya Malhotra</t>
  </si>
  <si>
    <t>O1371</t>
  </si>
  <si>
    <t>O1429</t>
  </si>
  <si>
    <t>O1716</t>
  </si>
  <si>
    <t>O1747</t>
  </si>
  <si>
    <t>O1778</t>
  </si>
  <si>
    <t>O1858</t>
  </si>
  <si>
    <t>Ananya Das</t>
  </si>
  <si>
    <t>O1275</t>
  </si>
  <si>
    <t>O1656</t>
  </si>
  <si>
    <t>O1692</t>
  </si>
  <si>
    <t>O1931</t>
  </si>
  <si>
    <t>O1107</t>
  </si>
  <si>
    <t>Sneha Iyer</t>
  </si>
  <si>
    <t>O1372</t>
  </si>
  <si>
    <t>O1838</t>
  </si>
  <si>
    <t>O1985</t>
  </si>
  <si>
    <t>O1194</t>
  </si>
  <si>
    <t>O1341</t>
  </si>
  <si>
    <t>O1687</t>
  </si>
  <si>
    <t>Manish Patel</t>
  </si>
  <si>
    <t>O1990</t>
  </si>
  <si>
    <t>O1927</t>
  </si>
  <si>
    <t>O1361</t>
  </si>
  <si>
    <t>O1583</t>
  </si>
  <si>
    <t>O1908</t>
  </si>
  <si>
    <t>O1244</t>
  </si>
  <si>
    <t>O1354</t>
  </si>
  <si>
    <t>O1645</t>
  </si>
  <si>
    <t>O1863</t>
  </si>
  <si>
    <t>Sneha Singh</t>
  </si>
  <si>
    <t>O1877</t>
  </si>
  <si>
    <t>O1087</t>
  </si>
  <si>
    <t>O1335</t>
  </si>
  <si>
    <t>O1340</t>
  </si>
  <si>
    <t>Kunal Verma</t>
  </si>
  <si>
    <t>O1346</t>
  </si>
  <si>
    <t>O1728</t>
  </si>
  <si>
    <t>O1748</t>
  </si>
  <si>
    <t>O1977</t>
  </si>
  <si>
    <t>Raj Verma</t>
  </si>
  <si>
    <t>O1269</t>
  </si>
  <si>
    <t>Aarav Sharma</t>
  </si>
  <si>
    <t>O1446</t>
  </si>
  <si>
    <t>O1598</t>
  </si>
  <si>
    <t>Tanvi Singh</t>
  </si>
  <si>
    <t>O1672</t>
  </si>
  <si>
    <t>O1721</t>
  </si>
  <si>
    <t>Rohan Agarwal</t>
  </si>
  <si>
    <t>O1928</t>
  </si>
  <si>
    <t>Raj Nair</t>
  </si>
  <si>
    <t>O1315</t>
  </si>
  <si>
    <t>O1575</t>
  </si>
  <si>
    <t>O1623</t>
  </si>
  <si>
    <t>O1663</t>
  </si>
  <si>
    <t>O1396</t>
  </si>
  <si>
    <t>O1417</t>
  </si>
  <si>
    <t>Kavya Bhatia</t>
  </si>
  <si>
    <t>O1124</t>
  </si>
  <si>
    <t>O1313</t>
  </si>
  <si>
    <t>O1691</t>
  </si>
  <si>
    <t>O1726</t>
  </si>
  <si>
    <t>O1970</t>
  </si>
  <si>
    <t>Divya Sen</t>
  </si>
  <si>
    <t>O1986</t>
  </si>
  <si>
    <t>Sanya Das</t>
  </si>
  <si>
    <t>O1086</t>
  </si>
  <si>
    <t>O1563</t>
  </si>
  <si>
    <t>Ananya Gupta</t>
  </si>
  <si>
    <t>O1658</t>
  </si>
  <si>
    <t>O1769</t>
  </si>
  <si>
    <t>O1975</t>
  </si>
  <si>
    <t>O1033</t>
  </si>
  <si>
    <t>Ananya Jain</t>
  </si>
  <si>
    <t>O1797</t>
  </si>
  <si>
    <t>Aarav Bose</t>
  </si>
  <si>
    <t>O1039</t>
  </si>
  <si>
    <t>O1198</t>
  </si>
  <si>
    <t>O1223</t>
  </si>
  <si>
    <t>O1366</t>
  </si>
  <si>
    <t>O1613</t>
  </si>
  <si>
    <t>Ishita Mehta</t>
  </si>
  <si>
    <t>O1830</t>
  </si>
  <si>
    <t>Neha Agarwal</t>
  </si>
  <si>
    <t>O1063</t>
  </si>
  <si>
    <t>O1088</t>
  </si>
  <si>
    <t>O1163</t>
  </si>
  <si>
    <t>O1345</t>
  </si>
  <si>
    <t>O1352</t>
  </si>
  <si>
    <t>O1455</t>
  </si>
  <si>
    <t>O1473</t>
  </si>
  <si>
    <t>O1587</t>
  </si>
  <si>
    <t>Ananya Mehta</t>
  </si>
  <si>
    <t>O1925</t>
  </si>
  <si>
    <t>O1982</t>
  </si>
  <si>
    <t>O1490</t>
  </si>
  <si>
    <t>O1578</t>
  </si>
  <si>
    <t>Aarav Patel</t>
  </si>
  <si>
    <t>O1183</t>
  </si>
  <si>
    <t>O1274</t>
  </si>
  <si>
    <t>O1459</t>
  </si>
  <si>
    <t>O1743</t>
  </si>
  <si>
    <t>O1158</t>
  </si>
  <si>
    <t>O1200</t>
  </si>
  <si>
    <t>O1292</t>
  </si>
  <si>
    <t>O1519</t>
  </si>
  <si>
    <t>O1675</t>
  </si>
  <si>
    <t>O1720</t>
  </si>
  <si>
    <t>O1762</t>
  </si>
  <si>
    <t>O1827</t>
  </si>
  <si>
    <t>O1954</t>
  </si>
  <si>
    <t>O1211</t>
  </si>
  <si>
    <t>O1393</t>
  </si>
  <si>
    <t>O1634</t>
  </si>
  <si>
    <t>O1642</t>
  </si>
  <si>
    <t>Tanvi Gupta</t>
  </si>
  <si>
    <t>O1684</t>
  </si>
  <si>
    <t>O1697</t>
  </si>
  <si>
    <t>Aarav Bhatia</t>
  </si>
  <si>
    <t>O1948</t>
  </si>
  <si>
    <t>O1909</t>
  </si>
  <si>
    <t>Priya Sen</t>
  </si>
  <si>
    <t>O1047</t>
  </si>
  <si>
    <t>Kavya Patel</t>
  </si>
  <si>
    <t>O1271</t>
  </si>
  <si>
    <t>Manish Kapoor</t>
  </si>
  <si>
    <t>O1059</t>
  </si>
  <si>
    <t>O1104</t>
  </si>
  <si>
    <t>Divya Patel</t>
  </si>
  <si>
    <t>O1210</t>
  </si>
  <si>
    <t>Ishita Sen</t>
  </si>
  <si>
    <t>O1443</t>
  </si>
  <si>
    <t>O1558</t>
  </si>
  <si>
    <t>O1570</t>
  </si>
  <si>
    <t>O1653</t>
  </si>
  <si>
    <t>O1945</t>
  </si>
  <si>
    <t>O1946</t>
  </si>
  <si>
    <t>O1256</t>
  </si>
  <si>
    <t>O1273</t>
  </si>
  <si>
    <t>Arjun Verma</t>
  </si>
  <si>
    <t>O1935</t>
  </si>
  <si>
    <t>O1050</t>
  </si>
  <si>
    <t>O1159</t>
  </si>
  <si>
    <t>Arjun Chopra</t>
  </si>
  <si>
    <t>O1733</t>
  </si>
  <si>
    <t>O1854</t>
  </si>
  <si>
    <t>O1955</t>
  </si>
  <si>
    <t>Tanvi Chopra</t>
  </si>
  <si>
    <t>O1048</t>
  </si>
  <si>
    <t>O1268</t>
  </si>
  <si>
    <t>O1303</t>
  </si>
  <si>
    <t>O1394</t>
  </si>
  <si>
    <t>O1767</t>
  </si>
  <si>
    <t>O1157</t>
  </si>
  <si>
    <t>Kunal Sharma</t>
  </si>
  <si>
    <t>O1567</t>
  </si>
  <si>
    <t>O1571</t>
  </si>
  <si>
    <t>O1607</t>
  </si>
  <si>
    <t>Pooja Reddy</t>
  </si>
  <si>
    <t>O1957</t>
  </si>
  <si>
    <t>O1022</t>
  </si>
  <si>
    <t>Vikram Das</t>
  </si>
  <si>
    <t>O1097</t>
  </si>
  <si>
    <t>O1261</t>
  </si>
  <si>
    <t>O1626</t>
  </si>
  <si>
    <t>O1635</t>
  </si>
  <si>
    <t>O1756</t>
  </si>
  <si>
    <t>O1805</t>
  </si>
  <si>
    <t>O1042</t>
  </si>
  <si>
    <t>O1110</t>
  </si>
  <si>
    <t>O1266</t>
  </si>
  <si>
    <t>O1395</t>
  </si>
  <si>
    <t>O1439</t>
  </si>
  <si>
    <t>O1466</t>
  </si>
  <si>
    <t>Manish Chopra</t>
  </si>
  <si>
    <t>O1628</t>
  </si>
  <si>
    <t>O1043</t>
  </si>
  <si>
    <t>O1725</t>
  </si>
  <si>
    <t>O1871</t>
  </si>
  <si>
    <t>O1921</t>
  </si>
  <si>
    <t>O1085</t>
  </si>
  <si>
    <t>O1141</t>
  </si>
  <si>
    <t>O1336</t>
  </si>
  <si>
    <t>Vikram Reddy</t>
  </si>
  <si>
    <t>O1359</t>
  </si>
  <si>
    <t>O1569</t>
  </si>
  <si>
    <t>O1800</t>
  </si>
  <si>
    <t>O1876</t>
  </si>
  <si>
    <t>O1152</t>
  </si>
  <si>
    <t>O1185</t>
  </si>
  <si>
    <t>O1339</t>
  </si>
  <si>
    <t>O1654</t>
  </si>
  <si>
    <t>O1698</t>
  </si>
  <si>
    <t>Neha Patel</t>
  </si>
  <si>
    <t>O1929</t>
  </si>
  <si>
    <t>Sanya Iyer</t>
  </si>
  <si>
    <t>O1133</t>
  </si>
  <si>
    <t>O1474</t>
  </si>
  <si>
    <t>O1584</t>
  </si>
  <si>
    <t>Raj Bhatia</t>
  </si>
  <si>
    <t>O1930</t>
  </si>
  <si>
    <t>Arjun Jain</t>
  </si>
  <si>
    <t>O1974</t>
  </si>
  <si>
    <t>Kavya Nair</t>
  </si>
  <si>
    <t>O1094</t>
  </si>
  <si>
    <t>O1362</t>
  </si>
  <si>
    <t>O1454</t>
  </si>
  <si>
    <t>O1470</t>
  </si>
  <si>
    <t>O1652</t>
  </si>
  <si>
    <t>O1655</t>
  </si>
  <si>
    <t>O1851</t>
  </si>
  <si>
    <t>O1197</t>
  </si>
  <si>
    <t>Sneha Roy</t>
  </si>
  <si>
    <t>O1224</t>
  </si>
  <si>
    <t>O1297</t>
  </si>
  <si>
    <t>Kunal Ghosh</t>
  </si>
  <si>
    <t>O1480</t>
  </si>
  <si>
    <t>Vikram Bhatia</t>
  </si>
  <si>
    <t>O1641</t>
  </si>
  <si>
    <t>O1646</t>
  </si>
  <si>
    <t>O1757</t>
  </si>
  <si>
    <t>O1784</t>
  </si>
  <si>
    <t>O1497</t>
  </si>
  <si>
    <t>O1627</t>
  </si>
  <si>
    <t>O1815</t>
  </si>
  <si>
    <t>O1869</t>
  </si>
  <si>
    <t>O1120</t>
  </si>
  <si>
    <t>O1132</t>
  </si>
  <si>
    <t>O1175</t>
  </si>
  <si>
    <t>O1510</t>
  </si>
  <si>
    <t>Divya Kapoor</t>
  </si>
  <si>
    <t>O1534</t>
  </si>
  <si>
    <t>O1610</t>
  </si>
  <si>
    <t>O1749</t>
  </si>
  <si>
    <t>O1807</t>
  </si>
  <si>
    <t>O1304</t>
  </si>
  <si>
    <t>Priya Gupta</t>
  </si>
  <si>
    <t>O1386</t>
  </si>
  <si>
    <t>Raj Sharma</t>
  </si>
  <si>
    <t>O1533</t>
  </si>
  <si>
    <t>O1614</t>
  </si>
  <si>
    <t>Divya Ghosh</t>
  </si>
  <si>
    <t>O1706</t>
  </si>
  <si>
    <t>O1811</t>
  </si>
  <si>
    <t>O1136</t>
  </si>
  <si>
    <t>Tanvi Nair</t>
  </si>
  <si>
    <t>O1503</t>
  </si>
  <si>
    <t>O1737</t>
  </si>
  <si>
    <t>Tanvi Malhotra</t>
  </si>
  <si>
    <t>O1581</t>
  </si>
  <si>
    <t>Divya Chopra</t>
  </si>
  <si>
    <t>O1833</t>
  </si>
  <si>
    <t>O1015</t>
  </si>
  <si>
    <t>O1260</t>
  </si>
  <si>
    <t>O1300</t>
  </si>
  <si>
    <t>O1552</t>
  </si>
  <si>
    <t>Kunal Bhatia</t>
  </si>
  <si>
    <t>O1841</t>
  </si>
  <si>
    <t>O1937</t>
  </si>
  <si>
    <t>O1964</t>
  </si>
  <si>
    <t>Manish Roy</t>
  </si>
  <si>
    <t>O1192</t>
  </si>
  <si>
    <t>O1332</t>
  </si>
  <si>
    <t>O1369</t>
  </si>
  <si>
    <t>O1753</t>
  </si>
  <si>
    <t>O1786</t>
  </si>
  <si>
    <t>O1217</t>
  </si>
  <si>
    <t>O1409</t>
  </si>
  <si>
    <t>Sneha Agarwal</t>
  </si>
  <si>
    <t>O1431</t>
  </si>
  <si>
    <t>O1499</t>
  </si>
  <si>
    <t>Rohan Verma</t>
  </si>
  <si>
    <t>O1514</t>
  </si>
  <si>
    <t>Aditya Reddy</t>
  </si>
  <si>
    <t>O1544</t>
  </si>
  <si>
    <t>O1866</t>
  </si>
  <si>
    <t>Kunal Nair</t>
  </si>
  <si>
    <t>O1923</t>
  </si>
  <si>
    <t>Ravi Chopra</t>
  </si>
  <si>
    <t>O1116</t>
  </si>
  <si>
    <t>O1213</t>
  </si>
  <si>
    <t>O1438</t>
  </si>
  <si>
    <t>O1149</t>
  </si>
  <si>
    <t>Neha Iyer</t>
  </si>
  <si>
    <t>O1227</t>
  </si>
  <si>
    <t>O1306</t>
  </si>
  <si>
    <t>O1836</t>
  </si>
  <si>
    <t>O1991</t>
  </si>
  <si>
    <t>O1162</t>
  </si>
  <si>
    <t>Aditya Sharma</t>
  </si>
  <si>
    <t>O1847</t>
  </si>
  <si>
    <t>O1972</t>
  </si>
  <si>
    <t>Sanya Singh</t>
  </si>
  <si>
    <t>O1176</t>
  </si>
  <si>
    <t>O1188</t>
  </si>
  <si>
    <t>O1821</t>
  </si>
  <si>
    <t>O1037</t>
  </si>
  <si>
    <t>Tanvi Iyer</t>
  </si>
  <si>
    <t>O1283</t>
  </si>
  <si>
    <t>O1403</t>
  </si>
  <si>
    <t>O1220</t>
  </si>
  <si>
    <t>O1606</t>
  </si>
  <si>
    <t>O1794</t>
  </si>
  <si>
    <t>O1091</t>
  </si>
  <si>
    <t>O1165</t>
  </si>
  <si>
    <t>O1389</t>
  </si>
  <si>
    <t>O1456</t>
  </si>
  <si>
    <t>O1556</t>
  </si>
  <si>
    <t>O1989</t>
  </si>
  <si>
    <t>O1385</t>
  </si>
  <si>
    <t>O1516</t>
  </si>
  <si>
    <t>Meera Singh</t>
  </si>
  <si>
    <t>O1705</t>
  </si>
  <si>
    <t>O1878</t>
  </si>
  <si>
    <t>O1186</t>
  </si>
  <si>
    <t>Aditya Agarwal</t>
  </si>
  <si>
    <t>O1542</t>
  </si>
  <si>
    <t>O1056</t>
  </si>
  <si>
    <t>O1177</t>
  </si>
  <si>
    <t>Arjun Ghosh</t>
  </si>
  <si>
    <t>O1422</t>
  </si>
  <si>
    <t>O1683</t>
  </si>
  <si>
    <t>O1730</t>
  </si>
  <si>
    <t>O1734</t>
  </si>
  <si>
    <t>O1765</t>
  </si>
  <si>
    <t>O1829</t>
  </si>
  <si>
    <t>O1920</t>
  </si>
  <si>
    <t>O1182</t>
  </si>
  <si>
    <t>O1219</t>
  </si>
  <si>
    <t>O1276</t>
  </si>
  <si>
    <t>O1367</t>
  </si>
  <si>
    <t>O1410</t>
  </si>
  <si>
    <t>O1432</t>
  </si>
  <si>
    <t>Vikram Singh</t>
  </si>
  <si>
    <t>O1752</t>
  </si>
  <si>
    <t>O1766</t>
  </si>
  <si>
    <t>O1881</t>
  </si>
  <si>
    <t>O1618</t>
  </si>
  <si>
    <t>Manish Gupta</t>
  </si>
  <si>
    <t>O1625</t>
  </si>
  <si>
    <t>O1773</t>
  </si>
  <si>
    <t>O1845</t>
  </si>
  <si>
    <t>O1875</t>
  </si>
  <si>
    <t>O1021</t>
  </si>
  <si>
    <t>O1045</t>
  </si>
  <si>
    <t>O1433</t>
  </si>
  <si>
    <t>O1710</t>
  </si>
  <si>
    <t>Arjun Roy</t>
  </si>
  <si>
    <t>O1142</t>
  </si>
  <si>
    <t>Ravi Iyer</t>
  </si>
  <si>
    <t>O1460</t>
  </si>
  <si>
    <t>O1952</t>
  </si>
  <si>
    <t>O1083</t>
  </si>
  <si>
    <t>Aditya Nair</t>
  </si>
  <si>
    <t>O1324</t>
  </si>
  <si>
    <t>O1400</t>
  </si>
  <si>
    <t>O1619</t>
  </si>
  <si>
    <t>O1650</t>
  </si>
  <si>
    <t>O1732</t>
  </si>
  <si>
    <t>O1912</t>
  </si>
  <si>
    <t>Meera Bhatia</t>
  </si>
  <si>
    <t>O1208</t>
  </si>
  <si>
    <t>O1351</t>
  </si>
  <si>
    <t>O1421</t>
  </si>
  <si>
    <t>O1677</t>
  </si>
  <si>
    <t>Ishita Malhotra</t>
  </si>
  <si>
    <t>O1894</t>
  </si>
  <si>
    <t>O1992</t>
  </si>
  <si>
    <t>O1380</t>
  </si>
  <si>
    <t>O1539</t>
  </si>
  <si>
    <t>O1599</t>
  </si>
  <si>
    <t>O1320</t>
  </si>
  <si>
    <t>O1855</t>
  </si>
  <si>
    <t>O1905</t>
  </si>
  <si>
    <t>O2000</t>
  </si>
  <si>
    <t>O1178</t>
  </si>
  <si>
    <t>O1317</t>
  </si>
  <si>
    <t>O1318</t>
  </si>
  <si>
    <t>O1420</t>
  </si>
  <si>
    <t>O1462</t>
  </si>
  <si>
    <t>O1479</t>
  </si>
  <si>
    <t>O1676</t>
  </si>
  <si>
    <t>O1835</t>
  </si>
  <si>
    <t>O1035</t>
  </si>
  <si>
    <t>Rohan Bose</t>
  </si>
  <si>
    <t>O1079</t>
  </si>
  <si>
    <t>O1287</t>
  </si>
  <si>
    <t>O1402</t>
  </si>
  <si>
    <t>O1451</t>
  </si>
  <si>
    <t>O1950</t>
  </si>
  <si>
    <t>O1154</t>
  </si>
  <si>
    <t>O1161</t>
  </si>
  <si>
    <t>O1232</t>
  </si>
  <si>
    <t>O1686</t>
  </si>
  <si>
    <t>O1870</t>
  </si>
  <si>
    <t>O1995</t>
  </si>
  <si>
    <t>O1338</t>
  </si>
  <si>
    <t>O1468</t>
  </si>
  <si>
    <t>O1657</t>
  </si>
  <si>
    <t>Ravi Patel</t>
  </si>
  <si>
    <t>O1776</t>
  </si>
  <si>
    <t>O1278</t>
  </si>
  <si>
    <t>Raj Das</t>
  </si>
  <si>
    <t>O1011</t>
  </si>
  <si>
    <t>Sneha Patel</t>
  </si>
  <si>
    <t>O1301</t>
  </si>
  <si>
    <t>O1406</t>
  </si>
  <si>
    <t>O1967</t>
  </si>
  <si>
    <t>O1115</t>
  </si>
  <si>
    <t>O1343</t>
  </si>
  <si>
    <t>O1665</t>
  </si>
  <si>
    <t>O1061</t>
  </si>
  <si>
    <t>O1187</t>
  </si>
  <si>
    <t>O1258</t>
  </si>
  <si>
    <t>O1745</t>
  </si>
  <si>
    <t>O1919</t>
  </si>
  <si>
    <t>O1001</t>
  </si>
  <si>
    <t>O1225</t>
  </si>
  <si>
    <t>Arjun Das</t>
  </si>
  <si>
    <t>O1414</t>
  </si>
  <si>
    <t>O1680</t>
  </si>
  <si>
    <t>Rohan Reddy</t>
  </si>
  <si>
    <t>O1282</t>
  </si>
  <si>
    <t>O1592</t>
  </si>
  <si>
    <t>O1649</t>
  </si>
  <si>
    <t>O1865</t>
  </si>
  <si>
    <t>O1543</t>
  </si>
  <si>
    <t>O1326</t>
  </si>
  <si>
    <t>Kunal Malhotra</t>
  </si>
  <si>
    <t>O1779</t>
  </si>
  <si>
    <t>O1106</t>
  </si>
  <si>
    <t>O1153</t>
  </si>
  <si>
    <t>O1285</t>
  </si>
  <si>
    <t>O1316</t>
  </si>
  <si>
    <t>O1814</t>
  </si>
  <si>
    <t>O1172</t>
  </si>
  <si>
    <t>Ravi Jain</t>
  </si>
  <si>
    <t>O1505</t>
  </si>
  <si>
    <t>O1548</t>
  </si>
  <si>
    <t>O1774</t>
  </si>
  <si>
    <t>O1801</t>
  </si>
  <si>
    <t>O1891</t>
  </si>
  <si>
    <t>O1005</t>
  </si>
  <si>
    <t>O1108</t>
  </si>
  <si>
    <t>O1545</t>
  </si>
  <si>
    <t>O1032</t>
  </si>
  <si>
    <t>O1476</t>
  </si>
  <si>
    <t>O1041</t>
  </si>
  <si>
    <t>O1281</t>
  </si>
  <si>
    <t>O1299</t>
  </si>
  <si>
    <t>O1513</t>
  </si>
  <si>
    <t>O1331</t>
  </si>
  <si>
    <t>O1631</t>
  </si>
  <si>
    <t>O1073</t>
  </si>
  <si>
    <t>O1109</t>
  </si>
  <si>
    <t>O1597</t>
  </si>
  <si>
    <t>Neha Ghosh</t>
  </si>
  <si>
    <t>O1010</t>
  </si>
  <si>
    <t>Priya Ghosh</t>
  </si>
  <si>
    <t>O1027</t>
  </si>
  <si>
    <t>O1179</t>
  </si>
  <si>
    <t>O1251</t>
  </si>
  <si>
    <t>O1901</t>
  </si>
  <si>
    <t>Divya Verma</t>
  </si>
  <si>
    <t>O1280</t>
  </si>
  <si>
    <t>O1291</t>
  </si>
  <si>
    <t>O1440</t>
  </si>
  <si>
    <t>O1488</t>
  </si>
  <si>
    <t>O1902</t>
  </si>
  <si>
    <t>Tanvi Jain</t>
  </si>
  <si>
    <t>O1098</t>
  </si>
  <si>
    <t>O1771</t>
  </si>
  <si>
    <t>O1798</t>
  </si>
  <si>
    <t>Vikram Sharma</t>
  </si>
  <si>
    <t>O1933</t>
  </si>
  <si>
    <t>O1196</t>
  </si>
  <si>
    <t>O1204</t>
  </si>
  <si>
    <t>O1289</t>
  </si>
  <si>
    <t>O1294</t>
  </si>
  <si>
    <t>Neha Chopra</t>
  </si>
  <si>
    <t>O1334</t>
  </si>
  <si>
    <t>O1608</t>
  </si>
  <si>
    <t>O1678</t>
  </si>
  <si>
    <t>O1795</t>
  </si>
  <si>
    <t>O1003</t>
  </si>
  <si>
    <t>O1064</t>
  </si>
  <si>
    <t>O1174</t>
  </si>
  <si>
    <t>O1467</t>
  </si>
  <si>
    <t>O1509</t>
  </si>
  <si>
    <t>O1564</t>
  </si>
  <si>
    <t>O1648</t>
  </si>
  <si>
    <t>O1667</t>
  </si>
  <si>
    <t>Aditya Ghosh</t>
  </si>
  <si>
    <t>O1668</t>
  </si>
  <si>
    <t>O1704</t>
  </si>
  <si>
    <t>O1822</t>
  </si>
  <si>
    <t>O1888</t>
  </si>
  <si>
    <t>O1897</t>
  </si>
  <si>
    <t>O1006</t>
  </si>
  <si>
    <t>O1419</t>
  </si>
  <si>
    <t>O1520</t>
  </si>
  <si>
    <t>O1958</t>
  </si>
  <si>
    <t>O1145</t>
  </si>
  <si>
    <t>O1236</t>
  </si>
  <si>
    <t>O1363</t>
  </si>
  <si>
    <t>O1696</t>
  </si>
  <si>
    <t>O1882</t>
  </si>
  <si>
    <t>O1887</t>
  </si>
  <si>
    <t>O1126</t>
  </si>
  <si>
    <t>O1201</t>
  </si>
  <si>
    <t>O1441</t>
  </si>
  <si>
    <t>O1475</t>
  </si>
  <si>
    <t>O1483</t>
  </si>
  <si>
    <t>O1852</t>
  </si>
  <si>
    <t>O1904</t>
  </si>
  <si>
    <t>O1038</t>
  </si>
  <si>
    <t>O1111</t>
  </si>
  <si>
    <t>O1203</t>
  </si>
  <si>
    <t>O1218</t>
  </si>
  <si>
    <t>Kunal Das</t>
  </si>
  <si>
    <t>O1250</t>
  </si>
  <si>
    <t>O1636</t>
  </si>
  <si>
    <t>O1742</t>
  </si>
  <si>
    <t>O1302</t>
  </si>
  <si>
    <t>O1444</t>
  </si>
  <si>
    <t>O1495</t>
  </si>
  <si>
    <t>O1090</t>
  </si>
  <si>
    <t>O1242</t>
  </si>
  <si>
    <t>O1517</t>
  </si>
  <si>
    <t>O1617</t>
  </si>
  <si>
    <t>O1842</t>
  </si>
  <si>
    <t>O1936</t>
  </si>
  <si>
    <t>O1973</t>
  </si>
  <si>
    <t>O1993</t>
  </si>
  <si>
    <t>O1265</t>
  </si>
  <si>
    <t>O1308</t>
  </si>
  <si>
    <t>O1436</t>
  </si>
  <si>
    <t>O1566</t>
  </si>
  <si>
    <t>Meera Patel</t>
  </si>
  <si>
    <t>O1816</t>
  </si>
  <si>
    <t>O1240</t>
  </si>
  <si>
    <t>O1387</t>
  </si>
  <si>
    <t>O1463</t>
  </si>
  <si>
    <t>O1559</t>
  </si>
  <si>
    <t>O1849</t>
  </si>
  <si>
    <t>O1864</t>
  </si>
  <si>
    <t>O1907</t>
  </si>
  <si>
    <t>O1076</t>
  </si>
  <si>
    <t>O1209</t>
  </si>
  <si>
    <t>O1239</t>
  </si>
  <si>
    <t>O1464</t>
  </si>
  <si>
    <t>O1478</t>
  </si>
  <si>
    <t>O1782</t>
  </si>
  <si>
    <t>O1314</t>
  </si>
  <si>
    <t>O1448</t>
  </si>
  <si>
    <t>O1469</t>
  </si>
  <si>
    <t>O1531</t>
  </si>
  <si>
    <t>O1604</t>
  </si>
  <si>
    <t>O1169</t>
  </si>
  <si>
    <t>O1521</t>
  </si>
  <si>
    <t>O1960</t>
  </si>
  <si>
    <t>Kavya Reddy</t>
  </si>
  <si>
    <t>O1051</t>
  </si>
  <si>
    <t>Ananya Kapoor</t>
  </si>
  <si>
    <t>O1068</t>
  </si>
  <si>
    <t>O1284</t>
  </si>
  <si>
    <t>O1727</t>
  </si>
  <si>
    <t>O1777</t>
  </si>
  <si>
    <t>O1259</t>
  </si>
  <si>
    <t>O1305</t>
  </si>
  <si>
    <t>O1370</t>
  </si>
  <si>
    <t>O1437</t>
  </si>
  <si>
    <t>O1494</t>
  </si>
  <si>
    <t>O1547</t>
  </si>
  <si>
    <t>O1723</t>
  </si>
  <si>
    <t>O1808</t>
  </si>
  <si>
    <t>O1009</t>
  </si>
  <si>
    <t>O1249</t>
  </si>
  <si>
    <t>O1381</t>
  </si>
  <si>
    <t>O1424</t>
  </si>
  <si>
    <t>O1453</t>
  </si>
  <si>
    <t>Meera Iyer</t>
  </si>
  <si>
    <t>O1447</t>
  </si>
  <si>
    <t>O1703</t>
  </si>
  <si>
    <t>Ananya Reddy</t>
  </si>
  <si>
    <t>O1155</t>
  </si>
  <si>
    <t>O1392</t>
  </si>
  <si>
    <t>Aarav Malhotra</t>
  </si>
  <si>
    <t>O1485</t>
  </si>
  <si>
    <t>O1524</t>
  </si>
  <si>
    <t>O1713</t>
  </si>
  <si>
    <t>O1915</t>
  </si>
  <si>
    <t>O1128</t>
  </si>
  <si>
    <t>Meera Agarwal</t>
  </si>
  <si>
    <t>O1129</t>
  </si>
  <si>
    <t>O1442</t>
  </si>
  <si>
    <t>O1506</t>
  </si>
  <si>
    <t>O1579</t>
  </si>
  <si>
    <t>O1588</t>
  </si>
  <si>
    <t>O1632</t>
  </si>
  <si>
    <t>O1739</t>
  </si>
  <si>
    <t>O1886</t>
  </si>
  <si>
    <t>O1146</t>
  </si>
  <si>
    <t>O1288</t>
  </si>
  <si>
    <t>O1828</t>
  </si>
  <si>
    <t>O1976</t>
  </si>
  <si>
    <t>O1075</t>
  </si>
  <si>
    <t>O1295</t>
  </si>
  <si>
    <t>O1330</t>
  </si>
  <si>
    <t>O1365</t>
  </si>
  <si>
    <t>O1817</t>
  </si>
  <si>
    <t>O1903</t>
  </si>
  <si>
    <t>O1328</t>
  </si>
  <si>
    <t>O1058</t>
  </si>
  <si>
    <t>O1243</t>
  </si>
  <si>
    <t>O1253</t>
  </si>
  <si>
    <t>O1357</t>
  </si>
  <si>
    <t>O1561</t>
  </si>
  <si>
    <t>Pooja Roy</t>
  </si>
  <si>
    <t>O1577</t>
  </si>
  <si>
    <t>O1679</t>
  </si>
  <si>
    <t>O1127</t>
  </si>
  <si>
    <t>O1860</t>
  </si>
  <si>
    <t>O1895</t>
  </si>
  <si>
    <t>O1034</t>
  </si>
  <si>
    <t>O1321</t>
  </si>
  <si>
    <t>O1751</t>
  </si>
  <si>
    <t>O1789</t>
  </si>
  <si>
    <t>O1839</t>
  </si>
  <si>
    <t>O1922</t>
  </si>
  <si>
    <t>O1971</t>
  </si>
  <si>
    <t>O1028</t>
  </si>
  <si>
    <t>O1368</t>
  </si>
  <si>
    <t>O1785</t>
  </si>
  <si>
    <t>O1859</t>
  </si>
  <si>
    <t>O1004</t>
  </si>
  <si>
    <t>Neha Bose</t>
  </si>
  <si>
    <t>O1263</t>
  </si>
  <si>
    <t>O1799</t>
  </si>
  <si>
    <t>O1856</t>
  </si>
  <si>
    <t>O1062</t>
  </si>
  <si>
    <t>O1230</t>
  </si>
  <si>
    <t>O1342</t>
  </si>
  <si>
    <t>O1344</t>
  </si>
  <si>
    <t>O1589</t>
  </si>
  <si>
    <t>O1651</t>
  </si>
  <si>
    <t>O1719</t>
  </si>
  <si>
    <t>O1861</t>
  </si>
  <si>
    <t>O1898</t>
  </si>
  <si>
    <t>O1231</t>
  </si>
  <si>
    <t>O1515</t>
  </si>
  <si>
    <t>O1590</t>
  </si>
  <si>
    <t>O1616</t>
  </si>
  <si>
    <t>O1924</t>
  </si>
  <si>
    <t>Row Labels</t>
  </si>
  <si>
    <t>Sum of Total Sales (₹)</t>
  </si>
  <si>
    <t>January</t>
  </si>
  <si>
    <t>February</t>
  </si>
  <si>
    <t>March</t>
  </si>
  <si>
    <t>April</t>
  </si>
  <si>
    <t>May</t>
  </si>
  <si>
    <t>June</t>
  </si>
  <si>
    <t>July</t>
  </si>
  <si>
    <t>August</t>
  </si>
  <si>
    <t>Sum of Sum of Total Sales (₹)</t>
  </si>
  <si>
    <t>September</t>
  </si>
  <si>
    <t>October</t>
  </si>
  <si>
    <t>November</t>
  </si>
  <si>
    <t>December</t>
  </si>
  <si>
    <t>Grand Total</t>
  </si>
  <si>
    <t>Count of Order ID</t>
  </si>
  <si>
    <t>Count of Repeat Purchase</t>
  </si>
  <si>
    <t>Adult</t>
  </si>
  <si>
    <t>Senior</t>
  </si>
  <si>
    <t>Teenager</t>
  </si>
  <si>
    <t>Column Labels</t>
  </si>
  <si>
    <t>Sum of Delivery Days</t>
  </si>
  <si>
    <t>Sum of Customer Rating</t>
  </si>
  <si>
    <t>Top 5 Product By Sales Value</t>
  </si>
  <si>
    <t>Count of Product Name</t>
  </si>
  <si>
    <t xml:space="preserve"> </t>
  </si>
  <si>
    <t xml:space="preserve">                                    Kps Store Annual Report 2024</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</si>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</sst>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1"/>
      <color theme="1"/>
      <name val="Calibri"/>
      <family val="2"/>
      <scheme val="minor"/>
    </font>
    <font>
      <b/>
      <sz val="18"/>
      <color theme="1"/>
      <name val="Algerian"/>
      <family val="5"/>
    </font>
    <font>
      <sz val="8"/>
      <name val="Calibri"/>
      <family val="2"/>
      <scheme val="minor"/>
    </font>
    <font>
      <sz val="18"/>
      <color theme="1"/>
      <name val="Calibri"/>
      <family val="2"/>
      <scheme val="minor"/>
    </font>
    <font>
      <sz val="28"/>
      <color rgb="FF0070C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249977111117893"/>
        <bgColor indexed="64"/>
      </patternFill>
    </fill>
    <fill>
      <patternFill patternType="solid">
        <fgColor theme="8"/>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left" vertical="center"/>
    </xf>
    <xf numFmtId="0" fontId="1" fillId="2" borderId="1" xfId="0" applyFont="1" applyFill="1" applyBorder="1" applyAlignment="1">
      <alignment horizontal="center" vertical="top"/>
    </xf>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4" borderId="0" xfId="0" applyFill="1"/>
    <xf numFmtId="0" fontId="2" fillId="3" borderId="0" xfId="0" applyFont="1" applyFill="1" applyAlignment="1">
      <alignment horizontal="center"/>
    </xf>
    <xf numFmtId="0" fontId="2" fillId="3" borderId="0" xfId="0" applyFont="1" applyFill="1"/>
    <xf numFmtId="0" fontId="0" fillId="0" borderId="0" xfId="0" applyAlignment="1">
      <alignment horizontal="left" indent="1"/>
    </xf>
    <xf numFmtId="0" fontId="0" fillId="3" borderId="0" xfId="0" applyFill="1"/>
    <xf numFmtId="0" fontId="5" fillId="5" borderId="0" xfId="0" applyFont="1" applyFill="1" applyAlignment="1">
      <alignment horizontal="center"/>
    </xf>
    <xf numFmtId="0" fontId="4" fillId="5" borderId="0" xfId="0" applyFont="1" applyFill="1" applyAlignment="1">
      <alignment horizontal="center"/>
    </xf>
    <xf numFmtId="0" fontId="1" fillId="0" borderId="0" xfId="0" applyFont="1" applyAlignment="1">
      <alignment horizontal="center"/>
    </xf>
    <xf numFmtId="0" fontId="0" fillId="0" borderId="0" xfId="0" applyAlignment="1">
      <alignment horizontal="center"/>
    </xf>
    <xf numFmtId="0" fontId="0" fillId="0" borderId="0" xfId="0" applyNumberFormat="1"/>
    <xf numFmtId="0" fontId="0" fillId="6" borderId="0" xfId="0" applyFill="1"/>
    <xf numFmtId="0" fontId="0" fillId="7" borderId="0" xfId="0" applyFill="1"/>
    <xf numFmtId="0" fontId="2" fillId="3" borderId="0" xfId="0" applyFont="1" applyFill="1" applyAlignment="1">
      <alignment horizontal="left"/>
    </xf>
    <xf numFmtId="0" fontId="0" fillId="4" borderId="0" xfId="0"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New.xlsx]T.s(month.and prd.cat)!PivotTable2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r>
              <a:rPr lang="en-US" baseline="0"/>
              <a:t> : Month and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09058461112607E-2"/>
          <c:y val="0.23129005840662692"/>
          <c:w val="0.86972339450086877"/>
          <c:h val="0.41450066341158448"/>
        </c:manualLayout>
      </c:layout>
      <c:barChart>
        <c:barDir val="col"/>
        <c:grouping val="stacked"/>
        <c:varyColors val="0"/>
        <c:ser>
          <c:idx val="0"/>
          <c:order val="0"/>
          <c:tx>
            <c:strRef>
              <c:f>'T.s(month.and prd.cat)'!$B$1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'T.s(month.and prd.cat)'!$A$2:$A$73</c:f>
              <c:multiLvlStrCache>
                <c:ptCount val="60"/>
                <c:lvl>
                  <c:pt idx="0">
                    <c:v>Apparel</c:v>
                  </c:pt>
                  <c:pt idx="1">
                    <c:v>Electronics</c:v>
                  </c:pt>
                  <c:pt idx="2">
                    <c:v>Furniture</c:v>
                  </c:pt>
                  <c:pt idx="3">
                    <c:v>Groceries</c:v>
                  </c:pt>
                  <c:pt idx="4">
                    <c:v>Sports</c:v>
                  </c:pt>
                  <c:pt idx="5">
                    <c:v>Apparel</c:v>
                  </c:pt>
                  <c:pt idx="6">
                    <c:v>Electronics</c:v>
                  </c:pt>
                  <c:pt idx="7">
                    <c:v>Furniture</c:v>
                  </c:pt>
                  <c:pt idx="8">
                    <c:v>Groceries</c:v>
                  </c:pt>
                  <c:pt idx="9">
                    <c:v>Sports</c:v>
                  </c:pt>
                  <c:pt idx="10">
                    <c:v>Apparel</c:v>
                  </c:pt>
                  <c:pt idx="11">
                    <c:v>Electronics</c:v>
                  </c:pt>
                  <c:pt idx="12">
                    <c:v>Furniture</c:v>
                  </c:pt>
                  <c:pt idx="13">
                    <c:v>Groceries</c:v>
                  </c:pt>
                  <c:pt idx="14">
                    <c:v>Sports</c:v>
                  </c:pt>
                  <c:pt idx="15">
                    <c:v>Apparel</c:v>
                  </c:pt>
                  <c:pt idx="16">
                    <c:v>Electronics</c:v>
                  </c:pt>
                  <c:pt idx="17">
                    <c:v>Furniture</c:v>
                  </c:pt>
                  <c:pt idx="18">
                    <c:v>Groceries</c:v>
                  </c:pt>
                  <c:pt idx="19">
                    <c:v>Sports</c:v>
                  </c:pt>
                  <c:pt idx="20">
                    <c:v>Apparel</c:v>
                  </c:pt>
                  <c:pt idx="21">
                    <c:v>Electronics</c:v>
                  </c:pt>
                  <c:pt idx="22">
                    <c:v>Furniture</c:v>
                  </c:pt>
                  <c:pt idx="23">
                    <c:v>Groceries</c:v>
                  </c:pt>
                  <c:pt idx="24">
                    <c:v>Sports</c:v>
                  </c:pt>
                  <c:pt idx="25">
                    <c:v>Apparel</c:v>
                  </c:pt>
                  <c:pt idx="26">
                    <c:v>Electronics</c:v>
                  </c:pt>
                  <c:pt idx="27">
                    <c:v>Furniture</c:v>
                  </c:pt>
                  <c:pt idx="28">
                    <c:v>Groceries</c:v>
                  </c:pt>
                  <c:pt idx="29">
                    <c:v>Sports</c:v>
                  </c:pt>
                  <c:pt idx="30">
                    <c:v>Apparel</c:v>
                  </c:pt>
                  <c:pt idx="31">
                    <c:v>Electronics</c:v>
                  </c:pt>
                  <c:pt idx="32">
                    <c:v>Furniture</c:v>
                  </c:pt>
                  <c:pt idx="33">
                    <c:v>Groceries</c:v>
                  </c:pt>
                  <c:pt idx="34">
                    <c:v>Sports</c:v>
                  </c:pt>
                  <c:pt idx="35">
                    <c:v>Apparel</c:v>
                  </c:pt>
                  <c:pt idx="36">
                    <c:v>Electronics</c:v>
                  </c:pt>
                  <c:pt idx="37">
                    <c:v>Furniture</c:v>
                  </c:pt>
                  <c:pt idx="38">
                    <c:v>Groceries</c:v>
                  </c:pt>
                  <c:pt idx="39">
                    <c:v>Sports</c:v>
                  </c:pt>
                  <c:pt idx="40">
                    <c:v>Apparel</c:v>
                  </c:pt>
                  <c:pt idx="41">
                    <c:v>Electronics</c:v>
                  </c:pt>
                  <c:pt idx="42">
                    <c:v>Furniture</c:v>
                  </c:pt>
                  <c:pt idx="43">
                    <c:v>Groceries</c:v>
                  </c:pt>
                  <c:pt idx="44">
                    <c:v>Sports</c:v>
                  </c:pt>
                  <c:pt idx="45">
                    <c:v>Apparel</c:v>
                  </c:pt>
                  <c:pt idx="46">
                    <c:v>Electronics</c:v>
                  </c:pt>
                  <c:pt idx="47">
                    <c:v>Furniture</c:v>
                  </c:pt>
                  <c:pt idx="48">
                    <c:v>Groceries</c:v>
                  </c:pt>
                  <c:pt idx="49">
                    <c:v>Sports</c:v>
                  </c:pt>
                  <c:pt idx="50">
                    <c:v>Apparel</c:v>
                  </c:pt>
                  <c:pt idx="51">
                    <c:v>Electronics</c:v>
                  </c:pt>
                  <c:pt idx="52">
                    <c:v>Furniture</c:v>
                  </c:pt>
                  <c:pt idx="53">
                    <c:v>Groceries</c:v>
                  </c:pt>
                  <c:pt idx="54">
                    <c:v>Sports</c:v>
                  </c:pt>
                  <c:pt idx="55">
                    <c:v>Apparel</c:v>
                  </c:pt>
                  <c:pt idx="56">
                    <c:v>Electronics</c:v>
                  </c:pt>
                  <c:pt idx="57">
                    <c:v>Furniture</c:v>
                  </c:pt>
                  <c:pt idx="58">
                    <c:v>Groceries</c:v>
                  </c:pt>
                  <c:pt idx="59">
                    <c:v>Sports</c:v>
                  </c:pt>
                </c:lvl>
                <c:lvl>
                  <c:pt idx="0">
                    <c:v>January</c:v>
                  </c:pt>
                  <c:pt idx="5">
                    <c:v>February</c:v>
                  </c:pt>
                  <c:pt idx="10">
                    <c:v>March</c:v>
                  </c:pt>
                  <c:pt idx="15">
                    <c:v>April</c:v>
                  </c:pt>
                  <c:pt idx="20">
                    <c:v>May</c:v>
                  </c:pt>
                  <c:pt idx="25">
                    <c:v>June</c:v>
                  </c:pt>
                  <c:pt idx="30">
                    <c:v>July</c:v>
                  </c:pt>
                  <c:pt idx="35">
                    <c:v>August</c:v>
                  </c:pt>
                  <c:pt idx="40">
                    <c:v>September</c:v>
                  </c:pt>
                  <c:pt idx="45">
                    <c:v>October</c:v>
                  </c:pt>
                  <c:pt idx="50">
                    <c:v>November</c:v>
                  </c:pt>
                  <c:pt idx="55">
                    <c:v>December</c:v>
                  </c:pt>
                </c:lvl>
              </c:multiLvlStrCache>
            </c:multiLvlStrRef>
          </c:cat>
          <c:val>
            <c:numRef>
              <c:f>'T.s(month.and prd.cat)'!$B$2:$B$73</c:f>
              <c:numCache>
                <c:formatCode>General</c:formatCode>
                <c:ptCount val="60"/>
                <c:pt idx="0">
                  <c:v>1368103</c:v>
                </c:pt>
                <c:pt idx="1">
                  <c:v>3758978</c:v>
                </c:pt>
                <c:pt idx="2">
                  <c:v>2314779</c:v>
                </c:pt>
                <c:pt idx="3">
                  <c:v>117313</c:v>
                </c:pt>
                <c:pt idx="4">
                  <c:v>3343656</c:v>
                </c:pt>
                <c:pt idx="5">
                  <c:v>2325977</c:v>
                </c:pt>
                <c:pt idx="6">
                  <c:v>2454320</c:v>
                </c:pt>
                <c:pt idx="7">
                  <c:v>2907378</c:v>
                </c:pt>
                <c:pt idx="8">
                  <c:v>77550</c:v>
                </c:pt>
                <c:pt idx="9">
                  <c:v>2558729</c:v>
                </c:pt>
                <c:pt idx="10">
                  <c:v>3757992</c:v>
                </c:pt>
                <c:pt idx="11">
                  <c:v>1238770</c:v>
                </c:pt>
                <c:pt idx="12">
                  <c:v>2659773</c:v>
                </c:pt>
                <c:pt idx="13">
                  <c:v>92007</c:v>
                </c:pt>
                <c:pt idx="14">
                  <c:v>2332061</c:v>
                </c:pt>
                <c:pt idx="15">
                  <c:v>1798239</c:v>
                </c:pt>
                <c:pt idx="16">
                  <c:v>3306507</c:v>
                </c:pt>
                <c:pt idx="17">
                  <c:v>2773524</c:v>
                </c:pt>
                <c:pt idx="18">
                  <c:v>90087</c:v>
                </c:pt>
                <c:pt idx="19">
                  <c:v>3238602</c:v>
                </c:pt>
                <c:pt idx="20">
                  <c:v>1969261</c:v>
                </c:pt>
                <c:pt idx="21">
                  <c:v>2589401</c:v>
                </c:pt>
                <c:pt idx="22">
                  <c:v>3085288</c:v>
                </c:pt>
                <c:pt idx="23">
                  <c:v>99390</c:v>
                </c:pt>
                <c:pt idx="24">
                  <c:v>1785567</c:v>
                </c:pt>
                <c:pt idx="25">
                  <c:v>1289460</c:v>
                </c:pt>
                <c:pt idx="26">
                  <c:v>2407971</c:v>
                </c:pt>
                <c:pt idx="27">
                  <c:v>3890649</c:v>
                </c:pt>
                <c:pt idx="28">
                  <c:v>68911</c:v>
                </c:pt>
                <c:pt idx="29">
                  <c:v>2862352</c:v>
                </c:pt>
                <c:pt idx="30">
                  <c:v>2869137</c:v>
                </c:pt>
                <c:pt idx="31">
                  <c:v>3430248</c:v>
                </c:pt>
                <c:pt idx="32">
                  <c:v>2516971</c:v>
                </c:pt>
                <c:pt idx="33">
                  <c:v>50061</c:v>
                </c:pt>
                <c:pt idx="34">
                  <c:v>2874121</c:v>
                </c:pt>
                <c:pt idx="35">
                  <c:v>2715502</c:v>
                </c:pt>
                <c:pt idx="36">
                  <c:v>2550735</c:v>
                </c:pt>
                <c:pt idx="37">
                  <c:v>3010888</c:v>
                </c:pt>
                <c:pt idx="38">
                  <c:v>49571</c:v>
                </c:pt>
                <c:pt idx="39">
                  <c:v>2609173</c:v>
                </c:pt>
                <c:pt idx="40">
                  <c:v>1732048</c:v>
                </c:pt>
                <c:pt idx="41">
                  <c:v>3217561</c:v>
                </c:pt>
                <c:pt idx="42">
                  <c:v>2858591</c:v>
                </c:pt>
                <c:pt idx="43">
                  <c:v>42305</c:v>
                </c:pt>
                <c:pt idx="44">
                  <c:v>2799766</c:v>
                </c:pt>
                <c:pt idx="45">
                  <c:v>777866</c:v>
                </c:pt>
                <c:pt idx="46">
                  <c:v>1729154</c:v>
                </c:pt>
                <c:pt idx="47">
                  <c:v>995174</c:v>
                </c:pt>
                <c:pt idx="48">
                  <c:v>94111</c:v>
                </c:pt>
                <c:pt idx="49">
                  <c:v>2181290</c:v>
                </c:pt>
                <c:pt idx="50">
                  <c:v>1584928</c:v>
                </c:pt>
                <c:pt idx="51">
                  <c:v>881041</c:v>
                </c:pt>
                <c:pt idx="52">
                  <c:v>1383032</c:v>
                </c:pt>
                <c:pt idx="53">
                  <c:v>111618</c:v>
                </c:pt>
                <c:pt idx="54">
                  <c:v>1104911</c:v>
                </c:pt>
                <c:pt idx="55">
                  <c:v>1966325</c:v>
                </c:pt>
                <c:pt idx="56">
                  <c:v>2014546</c:v>
                </c:pt>
                <c:pt idx="57">
                  <c:v>972200</c:v>
                </c:pt>
                <c:pt idx="58">
                  <c:v>41016</c:v>
                </c:pt>
                <c:pt idx="59">
                  <c:v>1382925</c:v>
                </c:pt>
              </c:numCache>
            </c:numRef>
          </c:val>
          <c:extLst>
            <c:ext xmlns:c16="http://schemas.microsoft.com/office/drawing/2014/chart" uri="{C3380CC4-5D6E-409C-BE32-E72D297353CC}">
              <c16:uniqueId val="{00000000-09F8-468A-80E7-883FED850931}"/>
            </c:ext>
          </c:extLst>
        </c:ser>
        <c:dLbls>
          <c:showLegendKey val="0"/>
          <c:showVal val="0"/>
          <c:showCatName val="0"/>
          <c:showSerName val="0"/>
          <c:showPercent val="0"/>
          <c:showBubbleSize val="0"/>
        </c:dLbls>
        <c:gapWidth val="150"/>
        <c:overlap val="100"/>
        <c:axId val="1114180960"/>
        <c:axId val="1114195840"/>
      </c:barChart>
      <c:catAx>
        <c:axId val="1114180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20" b="0" i="0" u="none" strike="noStrike" kern="1200" baseline="0">
                <a:solidFill>
                  <a:schemeClr val="lt1">
                    <a:lumMod val="85000"/>
                  </a:schemeClr>
                </a:solidFill>
                <a:latin typeface="+mn-lt"/>
                <a:ea typeface="+mn-ea"/>
                <a:cs typeface="+mn-cs"/>
              </a:defRPr>
            </a:pPr>
            <a:endParaRPr lang="en-US"/>
          </a:p>
        </c:txPr>
        <c:crossAx val="1114195840"/>
        <c:crosses val="autoZero"/>
        <c:auto val="1"/>
        <c:lblAlgn val="ctr"/>
        <c:lblOffset val="100"/>
        <c:noMultiLvlLbl val="0"/>
      </c:catAx>
      <c:valAx>
        <c:axId val="1114195840"/>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418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[Mandeep kps store  project excel New.xlsx]men vs women!PivotTable1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Men vs Women</a:t>
            </a:r>
          </a:p>
        </c:rich>
      </c:tx>
      <c:layout>
        <c:manualLayout>
          <c:xMode val="edge"/>
          <c:yMode val="edge"/>
          <c:x val="0.2349722222222222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93738718229161E-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431916475135833E-2"/>
                  <c:h val="0.11673082531350248"/>
                </c:manualLayout>
              </c15:layout>
            </c:ext>
          </c:extLst>
        </c:dLbl>
      </c:pivotFmt>
      <c:pivotFmt>
        <c:idx val="2"/>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6262251801041542E-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93738718229161E-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431916475135833E-2"/>
                  <c:h val="0.11673082531350248"/>
                </c:manualLayout>
              </c15:layout>
            </c:ext>
          </c:extLst>
        </c:dLbl>
      </c:pivotFmt>
    </c:pivotFmts>
    <c:plotArea>
      <c:layout/>
      <c:pieChart>
        <c:varyColors val="1"/>
        <c:ser>
          <c:idx val="0"/>
          <c:order val="0"/>
          <c:tx>
            <c:strRef>
              <c:f>'men vs women'!$B$1</c:f>
              <c:strCache>
                <c:ptCount val="1"/>
                <c:pt idx="0">
                  <c:v>Total</c:v>
                </c:pt>
              </c:strCache>
            </c:strRef>
          </c:tx>
          <c:dPt>
            <c:idx val="0"/>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7EA-40C7-8EB8-22B10D373FF2}"/>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7EA-40C7-8EB8-22B10D373FF2}"/>
              </c:ext>
            </c:extLst>
          </c:dPt>
          <c:dLbls>
            <c:dLbl>
              <c:idx val="0"/>
              <c:layout>
                <c:manualLayout>
                  <c:x val="1.193738718229161E-2"/>
                  <c:y val="0"/>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7.431916475135833E-2"/>
                      <c:h val="0.11673082531350248"/>
                    </c:manualLayout>
                  </c15:layout>
                </c:ext>
                <c:ext xmlns:c16="http://schemas.microsoft.com/office/drawing/2014/chart" uri="{C3380CC4-5D6E-409C-BE32-E72D297353CC}">
                  <c16:uniqueId val="{00000002-57EA-40C7-8EB8-22B10D373FF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women'!$A$2</c:f>
              <c:strCache>
                <c:ptCount val="1"/>
                <c:pt idx="0">
                  <c:v>Men</c:v>
                </c:pt>
              </c:strCache>
            </c:strRef>
          </c:cat>
          <c:val>
            <c:numRef>
              <c:f>'men vs women'!$B$2</c:f>
              <c:numCache>
                <c:formatCode>General</c:formatCode>
                <c:ptCount val="1"/>
                <c:pt idx="0">
                  <c:v>55843216</c:v>
                </c:pt>
              </c:numCache>
            </c:numRef>
          </c:val>
          <c:extLst>
            <c:ext xmlns:c16="http://schemas.microsoft.com/office/drawing/2014/chart" uri="{C3380CC4-5D6E-409C-BE32-E72D297353CC}">
              <c16:uniqueId val="{00000000-57EA-40C7-8EB8-22B10D373FF2}"/>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1239829396325449"/>
          <c:y val="4.1903616214639837E-3"/>
          <c:w val="0.26260170603674543"/>
          <c:h val="0.11240631379410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New.xlsx]order vs sales!PivotTable3</c:name>
    <c:fmtId val="0"/>
  </c:pivotSource>
  <c:chart>
    <c:title>
      <c:tx>
        <c:rich>
          <a:bodyPr rot="0" spcFirstLastPara="1" vertOverflow="ellipsis" vert="horz" wrap="square" anchor="ctr" anchorCtr="1"/>
          <a:lstStyle/>
          <a:p>
            <a:pPr>
              <a:defRPr sz="1600" b="1" i="1"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r>
              <a:rPr lang="en-IN" b="1" i="1" baseline="0">
                <a:solidFill>
                  <a:srgbClr val="00B050"/>
                </a:solidFill>
              </a:rPr>
              <a:t>Order vs Sales</a:t>
            </a:r>
          </a:p>
        </c:rich>
      </c:tx>
      <c:layout>
        <c:manualLayout>
          <c:xMode val="edge"/>
          <c:yMode val="edge"/>
          <c:x val="0.35949300087489067"/>
          <c:y val="4.8994550802912665E-2"/>
        </c:manualLayout>
      </c:layout>
      <c:overlay val="0"/>
      <c:spPr>
        <a:noFill/>
        <a:ln>
          <a:noFill/>
        </a:ln>
        <a:effectLst/>
      </c:spPr>
      <c:txPr>
        <a:bodyPr rot="0" spcFirstLastPara="1" vertOverflow="ellipsis" vert="horz" wrap="square" anchor="ctr" anchorCtr="1"/>
        <a:lstStyle/>
        <a:p>
          <a:pPr>
            <a:defRPr sz="1600" b="1" i="1"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8133230359127"/>
          <c:y val="0.19281258529023243"/>
          <c:w val="0.73724081364829397"/>
          <c:h val="0.58509794087862277"/>
        </c:manualLayout>
      </c:layout>
      <c:barChart>
        <c:barDir val="col"/>
        <c:grouping val="clustered"/>
        <c:varyColors val="0"/>
        <c:ser>
          <c:idx val="0"/>
          <c:order val="0"/>
          <c:tx>
            <c:strRef>
              <c:f>'order vs sales'!$B$1</c:f>
              <c:strCache>
                <c:ptCount val="1"/>
                <c:pt idx="0">
                  <c:v>Sum of Total Sales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 vs sales'!$A$2</c:f>
              <c:strCache>
                <c:ptCount val="1"/>
                <c:pt idx="0">
                  <c:v>September</c:v>
                </c:pt>
              </c:strCache>
            </c:strRef>
          </c:cat>
          <c:val>
            <c:numRef>
              <c:f>'order vs sales'!$B$2</c:f>
              <c:numCache>
                <c:formatCode>General</c:formatCode>
                <c:ptCount val="1"/>
                <c:pt idx="0">
                  <c:v>239000</c:v>
                </c:pt>
              </c:numCache>
            </c:numRef>
          </c:val>
          <c:extLst>
            <c:ext xmlns:c16="http://schemas.microsoft.com/office/drawing/2014/chart" uri="{C3380CC4-5D6E-409C-BE32-E72D297353CC}">
              <c16:uniqueId val="{00000000-D41D-4D52-85E9-A46C0BC5DD27}"/>
            </c:ext>
          </c:extLst>
        </c:ser>
        <c:ser>
          <c:idx val="1"/>
          <c:order val="1"/>
          <c:tx>
            <c:strRef>
              <c:f>'order vs sales'!$C$1</c:f>
              <c:strCache>
                <c:ptCount val="1"/>
                <c:pt idx="0">
                  <c:v>Count of Order 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 vs sales'!$A$2</c:f>
              <c:strCache>
                <c:ptCount val="1"/>
                <c:pt idx="0">
                  <c:v>September</c:v>
                </c:pt>
              </c:strCache>
            </c:strRef>
          </c:cat>
          <c:val>
            <c:numRef>
              <c:f>'order vs sales'!$C$2</c:f>
              <c:numCache>
                <c:formatCode>General</c:formatCode>
                <c:ptCount val="1"/>
                <c:pt idx="0">
                  <c:v>1</c:v>
                </c:pt>
              </c:numCache>
            </c:numRef>
          </c:val>
          <c:extLst>
            <c:ext xmlns:c16="http://schemas.microsoft.com/office/drawing/2014/chart" uri="{C3380CC4-5D6E-409C-BE32-E72D297353CC}">
              <c16:uniqueId val="{00000001-D41D-4D52-85E9-A46C0BC5DD27}"/>
            </c:ext>
          </c:extLst>
        </c:ser>
        <c:dLbls>
          <c:showLegendKey val="0"/>
          <c:showVal val="0"/>
          <c:showCatName val="0"/>
          <c:showSerName val="0"/>
          <c:showPercent val="0"/>
          <c:showBubbleSize val="0"/>
        </c:dLbls>
        <c:gapWidth val="219"/>
        <c:overlap val="-27"/>
        <c:axId val="902230640"/>
        <c:axId val="902227280"/>
      </c:barChart>
      <c:catAx>
        <c:axId val="902230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40" b="0" i="0" u="none" strike="noStrike" kern="1200" baseline="0">
                <a:solidFill>
                  <a:srgbClr val="FFC000"/>
                </a:solidFill>
                <a:latin typeface="+mn-lt"/>
                <a:ea typeface="+mn-ea"/>
                <a:cs typeface="+mn-cs"/>
              </a:defRPr>
            </a:pPr>
            <a:endParaRPr lang="en-US"/>
          </a:p>
        </c:txPr>
        <c:crossAx val="902227280"/>
        <c:crosses val="autoZero"/>
        <c:auto val="1"/>
        <c:lblAlgn val="ctr"/>
        <c:lblOffset val="100"/>
        <c:noMultiLvlLbl val="0"/>
      </c:catAx>
      <c:valAx>
        <c:axId val="902227280"/>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40" b="0" i="0" u="none" strike="noStrike" kern="1200" baseline="0">
                <a:solidFill>
                  <a:schemeClr val="lt1">
                    <a:lumMod val="85000"/>
                  </a:schemeClr>
                </a:solidFill>
                <a:latin typeface="+mn-lt"/>
                <a:ea typeface="+mn-ea"/>
                <a:cs typeface="+mn-cs"/>
              </a:defRPr>
            </a:pPr>
            <a:endParaRPr lang="en-US"/>
          </a:p>
        </c:txPr>
        <c:crossAx val="902230640"/>
        <c:crosses val="autoZero"/>
        <c:crossBetween val="between"/>
      </c:valAx>
      <c:spPr>
        <a:noFill/>
        <a:ln>
          <a:noFill/>
        </a:ln>
        <a:effectLst/>
      </c:spPr>
    </c:plotArea>
    <c:legend>
      <c:legendPos val="r"/>
      <c:layout>
        <c:manualLayout>
          <c:xMode val="edge"/>
          <c:yMode val="edge"/>
          <c:x val="0.68129155730533686"/>
          <c:y val="1.0886820658725925E-2"/>
          <c:w val="0.30204177602799648"/>
          <c:h val="0.11636321550851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[Mandeep kps store  project excel New.xlsx]Age and gender!PivotTable3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Age Group and Gender</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'Age and gender'!$B$1</c:f>
              <c:strCache>
                <c:ptCount val="1"/>
                <c:pt idx="0">
                  <c:v>Sum of Total Sales (₹)</c:v>
                </c:pt>
              </c:strCache>
            </c:strRef>
          </c:tx>
          <c:dPt>
            <c:idx val="0"/>
            <c:bubble3D val="0"/>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873-4655-8E3B-9C62AB2F8EDE}"/>
              </c:ext>
            </c:extLst>
          </c:dPt>
          <c:dPt>
            <c:idx val="1"/>
            <c:bubble3D val="0"/>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66C-47C7-A692-A67DE42924BF}"/>
              </c:ext>
            </c:extLst>
          </c:dPt>
          <c:dPt>
            <c:idx val="2"/>
            <c:bubble3D val="0"/>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873-4655-8E3B-9C62AB2F8EDE}"/>
              </c:ext>
            </c:extLst>
          </c:dPt>
          <c:dPt>
            <c:idx val="3"/>
            <c:bubble3D val="0"/>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966C-47C7-A692-A67DE42924BF}"/>
              </c:ext>
            </c:extLst>
          </c:dPt>
          <c:dPt>
            <c:idx val="4"/>
            <c:bubble3D val="0"/>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873-4655-8E3B-9C62AB2F8EDE}"/>
              </c:ext>
            </c:extLst>
          </c:dPt>
          <c:dPt>
            <c:idx val="5"/>
            <c:bubble3D val="0"/>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873-4655-8E3B-9C62AB2F8ED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'Age and gender'!$A$2:$A$10</c:f>
              <c:multiLvlStrCache>
                <c:ptCount val="6"/>
                <c:lvl>
                  <c:pt idx="0">
                    <c:v>Men</c:v>
                  </c:pt>
                  <c:pt idx="1">
                    <c:v>Women</c:v>
                  </c:pt>
                  <c:pt idx="2">
                    <c:v>Men</c:v>
                  </c:pt>
                  <c:pt idx="3">
                    <c:v>Women</c:v>
                  </c:pt>
                  <c:pt idx="4">
                    <c:v>Men</c:v>
                  </c:pt>
                  <c:pt idx="5">
                    <c:v>Women</c:v>
                  </c:pt>
                </c:lvl>
                <c:lvl>
                  <c:pt idx="0">
                    <c:v>Adult</c:v>
                  </c:pt>
                  <c:pt idx="2">
                    <c:v>Senior</c:v>
                  </c:pt>
                  <c:pt idx="4">
                    <c:v>Teenager</c:v>
                  </c:pt>
                </c:lvl>
              </c:multiLvlStrCache>
            </c:multiLvlStrRef>
          </c:cat>
          <c:val>
            <c:numRef>
              <c:f>'Age and gender'!$B$2:$B$10</c:f>
              <c:numCache>
                <c:formatCode>General</c:formatCode>
                <c:ptCount val="6"/>
                <c:pt idx="0">
                  <c:v>25413935</c:v>
                </c:pt>
                <c:pt idx="1">
                  <c:v>29223926</c:v>
                </c:pt>
                <c:pt idx="2">
                  <c:v>14954566</c:v>
                </c:pt>
                <c:pt idx="3">
                  <c:v>13744066</c:v>
                </c:pt>
                <c:pt idx="4">
                  <c:v>15474715</c:v>
                </c:pt>
                <c:pt idx="5">
                  <c:v>14298202</c:v>
                </c:pt>
              </c:numCache>
            </c:numRef>
          </c:val>
          <c:extLst>
            <c:ext xmlns:c16="http://schemas.microsoft.com/office/drawing/2014/chart" uri="{C3380CC4-5D6E-409C-BE32-E72D297353CC}">
              <c16:uniqueId val="{00000000-966C-47C7-A692-A67DE42924BF}"/>
            </c:ext>
          </c:extLst>
        </c:ser>
        <c:ser>
          <c:idx val="1"/>
          <c:order val="1"/>
          <c:tx>
            <c:strRef>
              <c:f>'Age and gender'!$C$1</c:f>
              <c:strCache>
                <c:ptCount val="1"/>
                <c:pt idx="0">
                  <c:v>Count of Repeat Purchase</c:v>
                </c:pt>
              </c:strCache>
            </c:strRef>
          </c:tx>
          <c:dPt>
            <c:idx val="0"/>
            <c:bubble3D val="0"/>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873-4655-8E3B-9C62AB2F8EDE}"/>
              </c:ext>
            </c:extLst>
          </c:dPt>
          <c:dPt>
            <c:idx val="1"/>
            <c:bubble3D val="0"/>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873-4655-8E3B-9C62AB2F8EDE}"/>
              </c:ext>
            </c:extLst>
          </c:dPt>
          <c:dPt>
            <c:idx val="2"/>
            <c:bubble3D val="0"/>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873-4655-8E3B-9C62AB2F8EDE}"/>
              </c:ext>
            </c:extLst>
          </c:dPt>
          <c:dPt>
            <c:idx val="3"/>
            <c:bubble3D val="0"/>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873-4655-8E3B-9C62AB2F8EDE}"/>
              </c:ext>
            </c:extLst>
          </c:dPt>
          <c:dPt>
            <c:idx val="4"/>
            <c:bubble3D val="0"/>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9873-4655-8E3B-9C62AB2F8EDE}"/>
              </c:ext>
            </c:extLst>
          </c:dPt>
          <c:dPt>
            <c:idx val="5"/>
            <c:bubble3D val="0"/>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9873-4655-8E3B-9C62AB2F8ED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'Age and gender'!$A$2:$A$10</c:f>
              <c:multiLvlStrCache>
                <c:ptCount val="6"/>
                <c:lvl>
                  <c:pt idx="0">
                    <c:v>Men</c:v>
                  </c:pt>
                  <c:pt idx="1">
                    <c:v>Women</c:v>
                  </c:pt>
                  <c:pt idx="2">
                    <c:v>Men</c:v>
                  </c:pt>
                  <c:pt idx="3">
                    <c:v>Women</c:v>
                  </c:pt>
                  <c:pt idx="4">
                    <c:v>Men</c:v>
                  </c:pt>
                  <c:pt idx="5">
                    <c:v>Women</c:v>
                  </c:pt>
                </c:lvl>
                <c:lvl>
                  <c:pt idx="0">
                    <c:v>Adult</c:v>
                  </c:pt>
                  <c:pt idx="2">
                    <c:v>Senior</c:v>
                  </c:pt>
                  <c:pt idx="4">
                    <c:v>Teenager</c:v>
                  </c:pt>
                </c:lvl>
              </c:multiLvlStrCache>
            </c:multiLvlStrRef>
          </c:cat>
          <c:val>
            <c:numRef>
              <c:f>'Age and gender'!$C$2:$C$10</c:f>
              <c:numCache>
                <c:formatCode>General</c:formatCode>
                <c:ptCount val="6"/>
                <c:pt idx="0">
                  <c:v>226</c:v>
                </c:pt>
                <c:pt idx="1">
                  <c:v>253</c:v>
                </c:pt>
                <c:pt idx="2">
                  <c:v>136</c:v>
                </c:pt>
                <c:pt idx="3">
                  <c:v>135</c:v>
                </c:pt>
                <c:pt idx="4">
                  <c:v>124</c:v>
                </c:pt>
                <c:pt idx="5">
                  <c:v>126</c:v>
                </c:pt>
              </c:numCache>
            </c:numRef>
          </c:val>
          <c:extLst>
            <c:ext xmlns:c16="http://schemas.microsoft.com/office/drawing/2014/chart" uri="{C3380CC4-5D6E-409C-BE32-E72D297353CC}">
              <c16:uniqueId val="{00000003-966C-47C7-A692-A67DE42924B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New.xlsx]sales trends over months!PivotTable4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trends over months'!$B$1:$B$2</c:f>
              <c:strCache>
                <c:ptCount val="1"/>
                <c:pt idx="0">
                  <c:v>East</c:v>
                </c:pt>
              </c:strCache>
            </c:strRef>
          </c:tx>
          <c:spPr>
            <a:solidFill>
              <a:schemeClr val="accent1"/>
            </a:solidFill>
            <a:ln>
              <a:noFill/>
            </a:ln>
            <a:effectLst/>
          </c:spPr>
          <c:invertIfNegative val="0"/>
          <c:cat>
            <c:strRef>
              <c:f>'sales trends over months'!$A$3:$A$14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trends over months'!$B$3:$B$14</c:f>
              <c:numCache>
                <c:formatCode>General</c:formatCode>
                <c:ptCount val="12"/>
                <c:pt idx="0">
                  <c:v>801721</c:v>
                </c:pt>
                <c:pt idx="1">
                  <c:v>649032</c:v>
                </c:pt>
                <c:pt idx="2">
                  <c:v>60255</c:v>
                </c:pt>
                <c:pt idx="3">
                  <c:v>1095535</c:v>
                </c:pt>
                <c:pt idx="4">
                  <c:v>635254</c:v>
                </c:pt>
                <c:pt idx="5">
                  <c:v>423784</c:v>
                </c:pt>
                <c:pt idx="6">
                  <c:v>779027</c:v>
                </c:pt>
                <c:pt idx="7">
                  <c:v>384858</c:v>
                </c:pt>
                <c:pt idx="8">
                  <c:v>1287210</c:v>
                </c:pt>
                <c:pt idx="9">
                  <c:v>691806</c:v>
                </c:pt>
                <c:pt idx="10">
                  <c:v>145075</c:v>
                </c:pt>
                <c:pt idx="11">
                  <c:v>317873</c:v>
                </c:pt>
              </c:numCache>
            </c:numRef>
          </c:val>
          <c:extLst>
            <c:ext xmlns:c16="http://schemas.microsoft.com/office/drawing/2014/chart" uri="{C3380CC4-5D6E-409C-BE32-E72D297353CC}">
              <c16:uniqueId val="{00000000-2255-403B-8578-64252D4CC990}"/>
            </c:ext>
          </c:extLst>
        </c:ser>
        <c:dLbls>
          <c:showLegendKey val="0"/>
          <c:showVal val="0"/>
          <c:showCatName val="0"/>
          <c:showSerName val="0"/>
          <c:showPercent val="0"/>
          <c:showBubbleSize val="0"/>
        </c:dLbls>
        <c:gapWidth val="219"/>
        <c:overlap val="-27"/>
        <c:axId val="2068707344"/>
        <c:axId val="2068715984"/>
      </c:barChart>
      <c:catAx>
        <c:axId val="206870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715984"/>
        <c:crosses val="autoZero"/>
        <c:auto val="1"/>
        <c:lblAlgn val="ctr"/>
        <c:lblOffset val="100"/>
        <c:noMultiLvlLbl val="0"/>
      </c:catAx>
      <c:valAx>
        <c:axId val="206871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70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New.xlsx]sales trends over months!PivotTable4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Regional Sales Trends Over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trends over months'!$B$1:$B$2</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trends over months'!$A$3:$A$14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trends over months'!$B$3:$B$14</c:f>
              <c:numCache>
                <c:formatCode>General</c:formatCode>
                <c:ptCount val="12"/>
                <c:pt idx="0">
                  <c:v>801721</c:v>
                </c:pt>
                <c:pt idx="1">
                  <c:v>649032</c:v>
                </c:pt>
                <c:pt idx="2">
                  <c:v>60255</c:v>
                </c:pt>
                <c:pt idx="3">
                  <c:v>1095535</c:v>
                </c:pt>
                <c:pt idx="4">
                  <c:v>635254</c:v>
                </c:pt>
                <c:pt idx="5">
                  <c:v>423784</c:v>
                </c:pt>
                <c:pt idx="6">
                  <c:v>779027</c:v>
                </c:pt>
                <c:pt idx="7">
                  <c:v>384858</c:v>
                </c:pt>
                <c:pt idx="8">
                  <c:v>1287210</c:v>
                </c:pt>
                <c:pt idx="9">
                  <c:v>691806</c:v>
                </c:pt>
                <c:pt idx="10">
                  <c:v>145075</c:v>
                </c:pt>
                <c:pt idx="11">
                  <c:v>317873</c:v>
                </c:pt>
              </c:numCache>
            </c:numRef>
          </c:val>
          <c:extLst>
            <c:ext xmlns:c16="http://schemas.microsoft.com/office/drawing/2014/chart" uri="{C3380CC4-5D6E-409C-BE32-E72D297353CC}">
              <c16:uniqueId val="{00000000-1633-4743-939B-1AC93D70DAD3}"/>
            </c:ext>
          </c:extLst>
        </c:ser>
        <c:dLbls>
          <c:showLegendKey val="0"/>
          <c:showVal val="0"/>
          <c:showCatName val="0"/>
          <c:showSerName val="0"/>
          <c:showPercent val="0"/>
          <c:showBubbleSize val="0"/>
        </c:dLbls>
        <c:gapWidth val="100"/>
        <c:overlap val="-24"/>
        <c:axId val="2068721264"/>
        <c:axId val="2068718864"/>
      </c:barChart>
      <c:catAx>
        <c:axId val="20687212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718864"/>
        <c:crosses val="autoZero"/>
        <c:auto val="1"/>
        <c:lblAlgn val="ctr"/>
        <c:lblOffset val="100"/>
        <c:noMultiLvlLbl val="0"/>
      </c:catAx>
      <c:valAx>
        <c:axId val="20687188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Sales</a:t>
                </a:r>
              </a:p>
            </c:rich>
          </c:tx>
          <c:layout>
            <c:manualLayout>
              <c:xMode val="edge"/>
              <c:yMode val="edge"/>
              <c:x val="1.8073239669124521E-2"/>
              <c:y val="0.3300242842571282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7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New.xlsx]del.days&amp; cust.rating!PivotTable5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a:t>
            </a:r>
            <a:r>
              <a:rPr lang="en-IN" baseline="0"/>
              <a:t> of Delivery Days and Customer Rating</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407331198420559E-2"/>
          <c:y val="0.2415897221045582"/>
          <c:w val="0.60887059790518583"/>
          <c:h val="0.32509607943441027"/>
        </c:manualLayout>
      </c:layout>
      <c:barChart>
        <c:barDir val="col"/>
        <c:grouping val="clustered"/>
        <c:varyColors val="0"/>
        <c:ser>
          <c:idx val="0"/>
          <c:order val="0"/>
          <c:tx>
            <c:strRef>
              <c:f>'del.days&amp; cust.rating'!$B$1</c:f>
              <c:strCache>
                <c:ptCount val="1"/>
                <c:pt idx="0">
                  <c:v>Sum of Delivery Days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'del.days&amp; cust.rating'!$A$2:$A$26</c:f>
              <c:multiLvlStrCache>
                <c:ptCount val="21"/>
                <c:lvl>
                  <c:pt idx="1">
                    <c:v>Apparel</c:v>
                  </c:pt>
                  <c:pt idx="2">
                    <c:v>Electronics</c:v>
                  </c:pt>
                  <c:pt idx="3">
                    <c:v>Furniture</c:v>
                  </c:pt>
                  <c:pt idx="4">
                    <c:v>Groceries</c:v>
                  </c:pt>
                  <c:pt idx="5">
                    <c:v>Sports</c:v>
                  </c:pt>
                  <c:pt idx="6">
                    <c:v>Apparel</c:v>
                  </c:pt>
                  <c:pt idx="7">
                    <c:v>Electronics</c:v>
                  </c:pt>
                  <c:pt idx="8">
                    <c:v>Furniture</c:v>
                  </c:pt>
                  <c:pt idx="9">
                    <c:v>Groceries</c:v>
                  </c:pt>
                  <c:pt idx="10">
                    <c:v>Sports</c:v>
                  </c:pt>
                  <c:pt idx="11">
                    <c:v>Apparel</c:v>
                  </c:pt>
                  <c:pt idx="12">
                    <c:v>Electronics</c:v>
                  </c:pt>
                  <c:pt idx="13">
                    <c:v>Furniture</c:v>
                  </c:pt>
                  <c:pt idx="14">
                    <c:v>Groceries</c:v>
                  </c:pt>
                  <c:pt idx="15">
                    <c:v>Sports</c:v>
                  </c:pt>
                  <c:pt idx="16">
                    <c:v>Apparel</c:v>
                  </c:pt>
                  <c:pt idx="17">
                    <c:v>Electronics</c:v>
                  </c:pt>
                  <c:pt idx="18">
                    <c:v>Furniture</c:v>
                  </c:pt>
                  <c:pt idx="19">
                    <c:v>Groceries</c:v>
                  </c:pt>
                  <c:pt idx="20">
                    <c:v>Sports</c:v>
                  </c:pt>
                </c:lvl>
                <c:lvl>
                  <c:pt idx="0">
                    <c:v>Cash on Delivery</c:v>
                  </c:pt>
                  <c:pt idx="1">
                    <c:v>Credit Card</c:v>
                  </c:pt>
                  <c:pt idx="6">
                    <c:v>Debit Card</c:v>
                  </c:pt>
                  <c:pt idx="11">
                    <c:v>Net Banking</c:v>
                  </c:pt>
                  <c:pt idx="16">
                    <c:v>UPI</c:v>
                  </c:pt>
                </c:lvl>
              </c:multiLvlStrCache>
            </c:multiLvlStrRef>
          </c:cat>
          <c:val>
            <c:numRef>
              <c:f>'del.days&amp; cust.rating'!$B$2:$B$26</c:f>
              <c:numCache>
                <c:formatCode>General</c:formatCode>
                <c:ptCount val="21"/>
                <c:pt idx="0">
                  <c:v>1086</c:v>
                </c:pt>
                <c:pt idx="1">
                  <c:v>209</c:v>
                </c:pt>
                <c:pt idx="2">
                  <c:v>254</c:v>
                </c:pt>
                <c:pt idx="3">
                  <c:v>271</c:v>
                </c:pt>
                <c:pt idx="4">
                  <c:v>224</c:v>
                </c:pt>
                <c:pt idx="5">
                  <c:v>253</c:v>
                </c:pt>
                <c:pt idx="6">
                  <c:v>210</c:v>
                </c:pt>
                <c:pt idx="7">
                  <c:v>262</c:v>
                </c:pt>
                <c:pt idx="8">
                  <c:v>211</c:v>
                </c:pt>
                <c:pt idx="9">
                  <c:v>189</c:v>
                </c:pt>
                <c:pt idx="10">
                  <c:v>203</c:v>
                </c:pt>
                <c:pt idx="11">
                  <c:v>149</c:v>
                </c:pt>
                <c:pt idx="12">
                  <c:v>202</c:v>
                </c:pt>
                <c:pt idx="13">
                  <c:v>223</c:v>
                </c:pt>
                <c:pt idx="14">
                  <c:v>187</c:v>
                </c:pt>
                <c:pt idx="15">
                  <c:v>243</c:v>
                </c:pt>
                <c:pt idx="16">
                  <c:v>230</c:v>
                </c:pt>
                <c:pt idx="17">
                  <c:v>237</c:v>
                </c:pt>
                <c:pt idx="18">
                  <c:v>231</c:v>
                </c:pt>
                <c:pt idx="19">
                  <c:v>186</c:v>
                </c:pt>
                <c:pt idx="20">
                  <c:v>273</c:v>
                </c:pt>
              </c:numCache>
            </c:numRef>
          </c:val>
          <c:extLst>
            <c:ext xmlns:c16="http://schemas.microsoft.com/office/drawing/2014/chart" uri="{C3380CC4-5D6E-409C-BE32-E72D297353CC}">
              <c16:uniqueId val="{00000000-B134-4403-88A3-DFE4A8A87345}"/>
            </c:ext>
          </c:extLst>
        </c:ser>
        <c:dLbls>
          <c:showLegendKey val="0"/>
          <c:showVal val="0"/>
          <c:showCatName val="0"/>
          <c:showSerName val="0"/>
          <c:showPercent val="0"/>
          <c:showBubbleSize val="0"/>
        </c:dLbls>
        <c:gapWidth val="219"/>
        <c:overlap val="-27"/>
        <c:axId val="2068727504"/>
        <c:axId val="2068711184"/>
      </c:barChart>
      <c:lineChart>
        <c:grouping val="standard"/>
        <c:varyColors val="0"/>
        <c:ser>
          <c:idx val="1"/>
          <c:order val="1"/>
          <c:tx>
            <c:strRef>
              <c:f>'del.days&amp; cust.rating'!$C$1</c:f>
              <c:strCache>
                <c:ptCount val="1"/>
                <c:pt idx="0">
                  <c:v>Sum of Customer Rating</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'del.days&amp; cust.rating'!$A$2:$A$26</c:f>
              <c:multiLvlStrCache>
                <c:ptCount val="21"/>
                <c:lvl>
                  <c:pt idx="1">
                    <c:v>Apparel</c:v>
                  </c:pt>
                  <c:pt idx="2">
                    <c:v>Electronics</c:v>
                  </c:pt>
                  <c:pt idx="3">
                    <c:v>Furniture</c:v>
                  </c:pt>
                  <c:pt idx="4">
                    <c:v>Groceries</c:v>
                  </c:pt>
                  <c:pt idx="5">
                    <c:v>Sports</c:v>
                  </c:pt>
                  <c:pt idx="6">
                    <c:v>Apparel</c:v>
                  </c:pt>
                  <c:pt idx="7">
                    <c:v>Electronics</c:v>
                  </c:pt>
                  <c:pt idx="8">
                    <c:v>Furniture</c:v>
                  </c:pt>
                  <c:pt idx="9">
                    <c:v>Groceries</c:v>
                  </c:pt>
                  <c:pt idx="10">
                    <c:v>Sports</c:v>
                  </c:pt>
                  <c:pt idx="11">
                    <c:v>Apparel</c:v>
                  </c:pt>
                  <c:pt idx="12">
                    <c:v>Electronics</c:v>
                  </c:pt>
                  <c:pt idx="13">
                    <c:v>Furniture</c:v>
                  </c:pt>
                  <c:pt idx="14">
                    <c:v>Groceries</c:v>
                  </c:pt>
                  <c:pt idx="15">
                    <c:v>Sports</c:v>
                  </c:pt>
                  <c:pt idx="16">
                    <c:v>Apparel</c:v>
                  </c:pt>
                  <c:pt idx="17">
                    <c:v>Electronics</c:v>
                  </c:pt>
                  <c:pt idx="18">
                    <c:v>Furniture</c:v>
                  </c:pt>
                  <c:pt idx="19">
                    <c:v>Groceries</c:v>
                  </c:pt>
                  <c:pt idx="20">
                    <c:v>Sports</c:v>
                  </c:pt>
                </c:lvl>
                <c:lvl>
                  <c:pt idx="0">
                    <c:v>Cash on Delivery</c:v>
                  </c:pt>
                  <c:pt idx="1">
                    <c:v>Credit Card</c:v>
                  </c:pt>
                  <c:pt idx="6">
                    <c:v>Debit Card</c:v>
                  </c:pt>
                  <c:pt idx="11">
                    <c:v>Net Banking</c:v>
                  </c:pt>
                  <c:pt idx="16">
                    <c:v>UPI</c:v>
                  </c:pt>
                </c:lvl>
              </c:multiLvlStrCache>
            </c:multiLvlStrRef>
          </c:cat>
          <c:val>
            <c:numRef>
              <c:f>'del.days&amp; cust.rating'!$C$2:$C$26</c:f>
              <c:numCache>
                <c:formatCode>General</c:formatCode>
                <c:ptCount val="21"/>
                <c:pt idx="0">
                  <c:v>571</c:v>
                </c:pt>
                <c:pt idx="1">
                  <c:v>97</c:v>
                </c:pt>
                <c:pt idx="2">
                  <c:v>139</c:v>
                </c:pt>
                <c:pt idx="3">
                  <c:v>147</c:v>
                </c:pt>
                <c:pt idx="4">
                  <c:v>127</c:v>
                </c:pt>
                <c:pt idx="5">
                  <c:v>143</c:v>
                </c:pt>
                <c:pt idx="6">
                  <c:v>134</c:v>
                </c:pt>
                <c:pt idx="7">
                  <c:v>137</c:v>
                </c:pt>
                <c:pt idx="8">
                  <c:v>129</c:v>
                </c:pt>
                <c:pt idx="9">
                  <c:v>94</c:v>
                </c:pt>
                <c:pt idx="10">
                  <c:v>102</c:v>
                </c:pt>
                <c:pt idx="11">
                  <c:v>88</c:v>
                </c:pt>
                <c:pt idx="12">
                  <c:v>122</c:v>
                </c:pt>
                <c:pt idx="13">
                  <c:v>129</c:v>
                </c:pt>
                <c:pt idx="14">
                  <c:v>100</c:v>
                </c:pt>
                <c:pt idx="15">
                  <c:v>139</c:v>
                </c:pt>
                <c:pt idx="16">
                  <c:v>118</c:v>
                </c:pt>
                <c:pt idx="17">
                  <c:v>117</c:v>
                </c:pt>
                <c:pt idx="18">
                  <c:v>147</c:v>
                </c:pt>
                <c:pt idx="19">
                  <c:v>111</c:v>
                </c:pt>
                <c:pt idx="20">
                  <c:v>127</c:v>
                </c:pt>
              </c:numCache>
            </c:numRef>
          </c:val>
          <c:smooth val="0"/>
          <c:extLst>
            <c:ext xmlns:c16="http://schemas.microsoft.com/office/drawing/2014/chart" uri="{C3380CC4-5D6E-409C-BE32-E72D297353CC}">
              <c16:uniqueId val="{00000001-B134-4403-88A3-DFE4A8A87345}"/>
            </c:ext>
          </c:extLst>
        </c:ser>
        <c:dLbls>
          <c:showLegendKey val="0"/>
          <c:showVal val="0"/>
          <c:showCatName val="0"/>
          <c:showSerName val="0"/>
          <c:showPercent val="0"/>
          <c:showBubbleSize val="0"/>
        </c:dLbls>
        <c:marker val="1"/>
        <c:smooth val="0"/>
        <c:axId val="2068727504"/>
        <c:axId val="2068711184"/>
      </c:lineChart>
      <c:catAx>
        <c:axId val="2068727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711184"/>
        <c:crosses val="autoZero"/>
        <c:auto val="1"/>
        <c:lblAlgn val="ctr"/>
        <c:lblOffset val="100"/>
        <c:noMultiLvlLbl val="0"/>
      </c:catAx>
      <c:valAx>
        <c:axId val="206871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72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New.xlsx]top 5 prod!PivotTable3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5 Product By Sales Value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719706911636046E-2"/>
              <c:y val="1.3154709827938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951443569553805E-2"/>
              <c:y val="6.69546515018964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941382327209101E-2"/>
              <c:y val="8.05664916885389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682852143482077E-2"/>
              <c:y val="0.13523293963254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4FC098E-9915-416B-B506-E7D7D288A4E8}"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7479658792650916E-2"/>
              <c:y val="-2.547116506270049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533333333333335"/>
                  <c:h val="4.6227034120734901E-2"/>
                </c:manualLayout>
              </c15:layout>
            </c:ext>
          </c:extLst>
        </c:dLbl>
      </c:pivotFmt>
    </c:pivotFmts>
    <c:plotArea>
      <c:layout/>
      <c:pieChart>
        <c:varyColors val="1"/>
        <c:ser>
          <c:idx val="0"/>
          <c:order val="0"/>
          <c:tx>
            <c:strRef>
              <c:f>'top 5 prod'!$B$3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341-402F-871A-EADEA094B90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341-402F-871A-EADEA094B90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341-402F-871A-EADEA094B90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341-402F-871A-EADEA094B90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6341-402F-871A-EADEA094B906}"/>
              </c:ext>
            </c:extLst>
          </c:dPt>
          <c:dLbls>
            <c:dLbl>
              <c:idx val="0"/>
              <c:layout>
                <c:manualLayout>
                  <c:x val="2.8719706911636046E-2"/>
                  <c:y val="1.31547098279381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1-402F-871A-EADEA094B906}"/>
                </c:ext>
              </c:extLst>
            </c:dLbl>
            <c:dLbl>
              <c:idx val="1"/>
              <c:layout>
                <c:manualLayout>
                  <c:x val="2.9951443569553805E-2"/>
                  <c:y val="6.695465150189644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1-402F-871A-EADEA094B906}"/>
                </c:ext>
              </c:extLst>
            </c:dLbl>
            <c:dLbl>
              <c:idx val="2"/>
              <c:layout>
                <c:manualLayout>
                  <c:x val="9.7941382327209101E-2"/>
                  <c:y val="8.056649168853893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1-402F-871A-EADEA094B906}"/>
                </c:ext>
              </c:extLst>
            </c:dLbl>
            <c:dLbl>
              <c:idx val="3"/>
              <c:layout>
                <c:manualLayout>
                  <c:x val="-1.8682852143482077E-2"/>
                  <c:y val="0.13523293963254593"/>
                </c:manualLayout>
              </c:layout>
              <c:tx>
                <c:rich>
                  <a:bodyPr/>
                  <a:lstStyle/>
                  <a:p>
                    <a:fld id="{24FC098E-9915-416B-B506-E7D7D288A4E8}"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341-402F-871A-EADEA094B906}"/>
                </c:ext>
              </c:extLst>
            </c:dLbl>
            <c:dLbl>
              <c:idx val="4"/>
              <c:layout>
                <c:manualLayout>
                  <c:x val="-3.7479658792650916E-2"/>
                  <c:y val="-2.547116506270049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533333333333335"/>
                      <c:h val="4.6227034120734901E-2"/>
                    </c:manualLayout>
                  </c15:layout>
                </c:ext>
                <c:ext xmlns:c16="http://schemas.microsoft.com/office/drawing/2014/chart" uri="{C3380CC4-5D6E-409C-BE32-E72D297353CC}">
                  <c16:uniqueId val="{00000006-6341-402F-871A-EADEA094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5 prod'!$A$4:$A$8</c:f>
              <c:strCache>
                <c:ptCount val="5"/>
                <c:pt idx="0">
                  <c:v>Yoga Mat</c:v>
                </c:pt>
                <c:pt idx="1">
                  <c:v>Tennis Racket</c:v>
                </c:pt>
                <c:pt idx="2">
                  <c:v>Laptop Pro</c:v>
                </c:pt>
                <c:pt idx="3">
                  <c:v>Dining Table</c:v>
                </c:pt>
                <c:pt idx="4">
                  <c:v>Bed Frame</c:v>
                </c:pt>
              </c:strCache>
            </c:strRef>
          </c:cat>
          <c:val>
            <c:numRef>
              <c:f>'top 5 prod'!$B$4:$B$8</c:f>
              <c:numCache>
                <c:formatCode>General</c:formatCode>
                <c:ptCount val="5"/>
                <c:pt idx="0">
                  <c:v>7229024</c:v>
                </c:pt>
                <c:pt idx="1">
                  <c:v>6577931</c:v>
                </c:pt>
                <c:pt idx="2">
                  <c:v>7283329</c:v>
                </c:pt>
                <c:pt idx="3">
                  <c:v>7007761</c:v>
                </c:pt>
                <c:pt idx="4">
                  <c:v>6675186</c:v>
                </c:pt>
              </c:numCache>
            </c:numRef>
          </c:val>
          <c:extLst>
            <c:ext xmlns:c16="http://schemas.microsoft.com/office/drawing/2014/chart" uri="{C3380CC4-5D6E-409C-BE32-E72D297353CC}">
              <c16:uniqueId val="{00000000-6341-402F-871A-EADEA094B9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New.xlsx]delivery  days vs rating!PivotTable4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Delivery</a:t>
            </a:r>
            <a:r>
              <a:rPr lang="en-IN" baseline="0"/>
              <a:t> </a:t>
            </a:r>
            <a:r>
              <a:rPr lang="en-IN"/>
              <a:t>Days vs Rating</a:t>
            </a:r>
          </a:p>
        </c:rich>
      </c:tx>
      <c:layout>
        <c:manualLayout>
          <c:xMode val="edge"/>
          <c:yMode val="edge"/>
          <c:x val="0.15351316541026613"/>
          <c:y val="4.0027715891476252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03342982908362E-2"/>
          <c:y val="0.20464420912303649"/>
          <c:w val="0.62711708088081175"/>
          <c:h val="0.67956576283123515"/>
        </c:manualLayout>
      </c:layout>
      <c:barChart>
        <c:barDir val="col"/>
        <c:grouping val="clustered"/>
        <c:varyColors val="0"/>
        <c:ser>
          <c:idx val="0"/>
          <c:order val="0"/>
          <c:tx>
            <c:strRef>
              <c:f>'delivery  days vs rating'!$B$1</c:f>
              <c:strCache>
                <c:ptCount val="1"/>
                <c:pt idx="0">
                  <c:v>Sum of Customer Rating</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'delivery  days vs rating'!$A$2:$A$11</c:f>
              <c:strCache>
                <c:ptCount val="10"/>
                <c:pt idx="0">
                  <c:v>1</c:v>
                </c:pt>
                <c:pt idx="1">
                  <c:v>2</c:v>
                </c:pt>
                <c:pt idx="2">
                  <c:v>3</c:v>
                </c:pt>
                <c:pt idx="3">
                  <c:v>4</c:v>
                </c:pt>
                <c:pt idx="4">
                  <c:v>5</c:v>
                </c:pt>
                <c:pt idx="5">
                  <c:v>6</c:v>
                </c:pt>
                <c:pt idx="6">
                  <c:v>7</c:v>
                </c:pt>
                <c:pt idx="7">
                  <c:v>8</c:v>
                </c:pt>
                <c:pt idx="8">
                  <c:v>9</c:v>
                </c:pt>
                <c:pt idx="9">
                  <c:v>10</c:v>
                </c:pt>
              </c:strCache>
            </c:strRef>
          </c:cat>
          <c:val>
            <c:numRef>
              <c:f>'delivery  days vs rating'!$B$2:$B$11</c:f>
              <c:numCache>
                <c:formatCode>General</c:formatCode>
                <c:ptCount val="10"/>
                <c:pt idx="0">
                  <c:v>280</c:v>
                </c:pt>
                <c:pt idx="1">
                  <c:v>280</c:v>
                </c:pt>
                <c:pt idx="2">
                  <c:v>296</c:v>
                </c:pt>
                <c:pt idx="3">
                  <c:v>269</c:v>
                </c:pt>
                <c:pt idx="4">
                  <c:v>348</c:v>
                </c:pt>
                <c:pt idx="5">
                  <c:v>348</c:v>
                </c:pt>
                <c:pt idx="6">
                  <c:v>330</c:v>
                </c:pt>
                <c:pt idx="7">
                  <c:v>321</c:v>
                </c:pt>
                <c:pt idx="8">
                  <c:v>280</c:v>
                </c:pt>
                <c:pt idx="9">
                  <c:v>266</c:v>
                </c:pt>
              </c:numCache>
            </c:numRef>
          </c:val>
          <c:extLst>
            <c:ext xmlns:c16="http://schemas.microsoft.com/office/drawing/2014/chart" uri="{C3380CC4-5D6E-409C-BE32-E72D297353CC}">
              <c16:uniqueId val="{00000000-E640-4D0E-A5B6-745BADA41463}"/>
            </c:ext>
          </c:extLst>
        </c:ser>
        <c:ser>
          <c:idx val="1"/>
          <c:order val="1"/>
          <c:tx>
            <c:strRef>
              <c:f>'delivery  days vs rating'!$C$1</c:f>
              <c:strCache>
                <c:ptCount val="1"/>
                <c:pt idx="0">
                  <c:v>Count of Repeat Purchase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'delivery  days vs rating'!$A$2:$A$11</c:f>
              <c:strCache>
                <c:ptCount val="10"/>
                <c:pt idx="0">
                  <c:v>1</c:v>
                </c:pt>
                <c:pt idx="1">
                  <c:v>2</c:v>
                </c:pt>
                <c:pt idx="2">
                  <c:v>3</c:v>
                </c:pt>
                <c:pt idx="3">
                  <c:v>4</c:v>
                </c:pt>
                <c:pt idx="4">
                  <c:v>5</c:v>
                </c:pt>
                <c:pt idx="5">
                  <c:v>6</c:v>
                </c:pt>
                <c:pt idx="6">
                  <c:v>7</c:v>
                </c:pt>
                <c:pt idx="7">
                  <c:v>8</c:v>
                </c:pt>
                <c:pt idx="8">
                  <c:v>9</c:v>
                </c:pt>
                <c:pt idx="9">
                  <c:v>10</c:v>
                </c:pt>
              </c:strCache>
            </c:strRef>
          </c:cat>
          <c:val>
            <c:numRef>
              <c:f>'delivery  days vs rating'!$C$2:$C$11</c:f>
              <c:numCache>
                <c:formatCode>General</c:formatCode>
                <c:ptCount val="10"/>
                <c:pt idx="0">
                  <c:v>94</c:v>
                </c:pt>
                <c:pt idx="1">
                  <c:v>90</c:v>
                </c:pt>
                <c:pt idx="2">
                  <c:v>94</c:v>
                </c:pt>
                <c:pt idx="3">
                  <c:v>95</c:v>
                </c:pt>
                <c:pt idx="4">
                  <c:v>119</c:v>
                </c:pt>
                <c:pt idx="5">
                  <c:v>111</c:v>
                </c:pt>
                <c:pt idx="6">
                  <c:v>116</c:v>
                </c:pt>
                <c:pt idx="7">
                  <c:v>97</c:v>
                </c:pt>
                <c:pt idx="8">
                  <c:v>92</c:v>
                </c:pt>
                <c:pt idx="9">
                  <c:v>92</c:v>
                </c:pt>
              </c:numCache>
            </c:numRef>
          </c:val>
          <c:extLst>
            <c:ext xmlns:c16="http://schemas.microsoft.com/office/drawing/2014/chart" uri="{C3380CC4-5D6E-409C-BE32-E72D297353CC}">
              <c16:uniqueId val="{00000003-E640-4D0E-A5B6-745BADA41463}"/>
            </c:ext>
          </c:extLst>
        </c:ser>
        <c:dLbls>
          <c:showLegendKey val="0"/>
          <c:showVal val="0"/>
          <c:showCatName val="0"/>
          <c:showSerName val="0"/>
          <c:showPercent val="0"/>
          <c:showBubbleSize val="0"/>
        </c:dLbls>
        <c:gapWidth val="219"/>
        <c:overlap val="-27"/>
        <c:axId val="779392527"/>
        <c:axId val="779393007"/>
      </c:barChart>
      <c:catAx>
        <c:axId val="779392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393007"/>
        <c:crosses val="autoZero"/>
        <c:auto val="1"/>
        <c:lblAlgn val="ctr"/>
        <c:lblOffset val="100"/>
        <c:noMultiLvlLbl val="0"/>
      </c:catAx>
      <c:valAx>
        <c:axId val="779393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392527"/>
        <c:crosses val="autoZero"/>
        <c:crossBetween val="between"/>
      </c:valAx>
      <c:spPr>
        <a:noFill/>
        <a:ln>
          <a:noFill/>
        </a:ln>
        <a:effectLst/>
      </c:spPr>
    </c:plotArea>
    <c:legend>
      <c:legendPos val="r"/>
      <c:layout>
        <c:manualLayout>
          <c:xMode val="edge"/>
          <c:yMode val="edge"/>
          <c:x val="0.79995739835371837"/>
          <c:y val="0.17254928261716751"/>
          <c:w val="0.18277533863210191"/>
          <c:h val="0.425933407252959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New.xlsx]city &amp; products!PivotTable5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Product Name &amp;</a:t>
            </a:r>
            <a:r>
              <a:rPr lang="en-US" baseline="0"/>
              <a:t> Total sales</a:t>
            </a:r>
            <a:endParaRPr lang="en-US"/>
          </a:p>
        </c:rich>
      </c:tx>
      <c:layout>
        <c:manualLayout>
          <c:xMode val="edge"/>
          <c:yMode val="edge"/>
          <c:x val="0.11817987255643002"/>
          <c:y val="1.9767601492625127E-2"/>
        </c:manualLayout>
      </c:layout>
      <c:overlay val="0"/>
      <c:spPr>
        <a:noFill/>
        <a:ln>
          <a:noFill/>
        </a:ln>
        <a:effectLst/>
      </c:spPr>
    </c:title>
    <c:autoTitleDeleted val="0"/>
    <c:pivotFmts>
      <c:pivotFmt>
        <c:idx val="0"/>
        <c:spPr>
          <a:effectLst>
            <a:softEdge rad="0"/>
          </a:effectLst>
          <a:scene3d>
            <a:camera prst="orthographicFront"/>
            <a:lightRig rig="threePt" dir="t">
              <a:rot lat="0" lon="0" rev="1200000"/>
            </a:lightRig>
          </a:scene3d>
          <a:sp3d>
            <a:bevelT w="215900" h="25400"/>
            <a:bevelB w="889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8"/>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9"/>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1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11"/>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'city &amp; products'!$B$1</c:f>
              <c:strCache>
                <c:ptCount val="1"/>
                <c:pt idx="0">
                  <c:v>Count of Product Name</c:v>
                </c:pt>
              </c:strCache>
            </c:strRef>
          </c:tx>
          <c:spPr>
            <a:effectLst>
              <a:softEdge rad="0"/>
            </a:effectLst>
            <a:scene3d>
              <a:camera prst="orthographicFront"/>
              <a:lightRig rig="threePt" dir="t">
                <a:rot lat="0" lon="0" rev="1200000"/>
              </a:lightRig>
            </a:scene3d>
            <a:sp3d>
              <a:bevelT w="215900" h="25400"/>
              <a:bevelB w="88900"/>
            </a:sp3d>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01-4A11-48D3-917D-0ADDA3C0192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03-4A11-48D3-917D-0ADDA3C0192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05-4A11-48D3-917D-0ADDA3C0192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07-4A11-48D3-917D-0ADDA3C0192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09-4A11-48D3-917D-0ADDA3C0192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0B-4A11-48D3-917D-0ADDA3C0192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0D-4A11-48D3-917D-0ADDA3C0192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0F-4A11-48D3-917D-0ADDA3C0192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11-4A11-48D3-917D-0ADDA3C0192E}"/>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softEdge rad="0"/>
              </a:effectLst>
              <a:scene3d>
                <a:camera prst="orthographicFront"/>
                <a:lightRig rig="threePt" dir="t">
                  <a:rot lat="0" lon="0" rev="1200000"/>
                </a:lightRig>
              </a:scene3d>
              <a:sp3d>
                <a:bevelT w="215900" h="25400"/>
                <a:bevelB w="88900"/>
              </a:sp3d>
            </c:spPr>
            <c:extLst>
              <c:ext xmlns:c16="http://schemas.microsoft.com/office/drawing/2014/chart" uri="{C3380CC4-5D6E-409C-BE32-E72D297353CC}">
                <c16:uniqueId val="{00000013-4A11-48D3-917D-0ADDA3C0192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'city &amp; products'!$A$2:$A$11</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'city &amp; products'!$B$2:$B$11</c:f>
              <c:numCache>
                <c:formatCode>General</c:formatCode>
                <c:ptCount val="10"/>
                <c:pt idx="0">
                  <c:v>79</c:v>
                </c:pt>
                <c:pt idx="1">
                  <c:v>101</c:v>
                </c:pt>
                <c:pt idx="2">
                  <c:v>102</c:v>
                </c:pt>
                <c:pt idx="3">
                  <c:v>103</c:v>
                </c:pt>
                <c:pt idx="4">
                  <c:v>107</c:v>
                </c:pt>
                <c:pt idx="5">
                  <c:v>92</c:v>
                </c:pt>
                <c:pt idx="6">
                  <c:v>95</c:v>
                </c:pt>
                <c:pt idx="7">
                  <c:v>94</c:v>
                </c:pt>
                <c:pt idx="8">
                  <c:v>118</c:v>
                </c:pt>
                <c:pt idx="9">
                  <c:v>109</c:v>
                </c:pt>
              </c:numCache>
            </c:numRef>
          </c:val>
          <c:extLst>
            <c:ext xmlns:c16="http://schemas.microsoft.com/office/drawing/2014/chart" uri="{C3380CC4-5D6E-409C-BE32-E72D297353CC}">
              <c16:uniqueId val="{00000000-98F8-43FA-B27B-BB8A67DE7000}"/>
            </c:ext>
          </c:extLst>
        </c:ser>
        <c:ser>
          <c:idx val="1"/>
          <c:order val="1"/>
          <c:tx>
            <c:strRef>
              <c:f>'city &amp; products'!$C$1</c:f>
              <c:strCache>
                <c:ptCount val="1"/>
                <c:pt idx="0">
                  <c:v>Sum of Total Sales (₹)</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4A11-48D3-917D-0ADDA3C0192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4A11-48D3-917D-0ADDA3C0192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4A11-48D3-917D-0ADDA3C0192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4A11-48D3-917D-0ADDA3C0192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4A11-48D3-917D-0ADDA3C0192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4A11-48D3-917D-0ADDA3C0192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4A11-48D3-917D-0ADDA3C0192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4A11-48D3-917D-0ADDA3C0192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4A11-48D3-917D-0ADDA3C0192E}"/>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4A11-48D3-917D-0ADDA3C0192E}"/>
              </c:ext>
            </c:extLst>
          </c:dPt>
          <c:cat>
            <c:strRef>
              <c:f>'city &amp; products'!$A$2:$A$11</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'city &amp; products'!$C$2:$C$11</c:f>
              <c:numCache>
                <c:formatCode>General</c:formatCode>
                <c:ptCount val="10"/>
                <c:pt idx="0">
                  <c:v>9458924</c:v>
                </c:pt>
                <c:pt idx="1">
                  <c:v>12341619</c:v>
                </c:pt>
                <c:pt idx="2">
                  <c:v>9709838</c:v>
                </c:pt>
                <c:pt idx="3">
                  <c:v>12525962</c:v>
                </c:pt>
                <c:pt idx="4">
                  <c:v>12615825</c:v>
                </c:pt>
                <c:pt idx="5">
                  <c:v>10615369</c:v>
                </c:pt>
                <c:pt idx="6">
                  <c:v>8659705</c:v>
                </c:pt>
                <c:pt idx="7">
                  <c:v>11442454</c:v>
                </c:pt>
                <c:pt idx="8">
                  <c:v>13638966</c:v>
                </c:pt>
                <c:pt idx="9">
                  <c:v>12100748</c:v>
                </c:pt>
              </c:numCache>
            </c:numRef>
          </c:val>
          <c:extLst>
            <c:ext xmlns:c16="http://schemas.microsoft.com/office/drawing/2014/chart" uri="{C3380CC4-5D6E-409C-BE32-E72D297353CC}">
              <c16:uniqueId val="{00000001-98F8-43FA-B27B-BB8A67DE700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New.xlsx]order vs sales!PivotTable3</c:name>
    <c:fmtId val="13"/>
  </c:pivotSource>
  <c:chart>
    <c:title>
      <c:tx>
        <c:rich>
          <a:bodyPr rot="0" spcFirstLastPara="1" vertOverflow="ellipsis" vert="horz" wrap="square" anchor="ctr" anchorCtr="1"/>
          <a:lstStyle/>
          <a:p>
            <a:pPr>
              <a:defRPr sz="1600" b="1" i="1"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r>
              <a:rPr lang="en-IN" b="1" i="1" baseline="0">
                <a:solidFill>
                  <a:srgbClr val="00B050"/>
                </a:solidFill>
              </a:rPr>
              <a:t>Order vs Sales</a:t>
            </a:r>
          </a:p>
        </c:rich>
      </c:tx>
      <c:layout>
        <c:manualLayout>
          <c:xMode val="edge"/>
          <c:yMode val="edge"/>
          <c:x val="0.33961047652868381"/>
          <c:y val="4.3903751118408607E-2"/>
        </c:manualLayout>
      </c:layout>
      <c:overlay val="0"/>
      <c:spPr>
        <a:noFill/>
        <a:ln>
          <a:noFill/>
        </a:ln>
        <a:effectLst/>
      </c:spPr>
      <c:txPr>
        <a:bodyPr rot="0" spcFirstLastPara="1" vertOverflow="ellipsis" vert="horz" wrap="square" anchor="ctr" anchorCtr="1"/>
        <a:lstStyle/>
        <a:p>
          <a:pPr>
            <a:defRPr sz="1600" b="1" i="1" u="none" strike="noStrike" kern="1200" spc="100" baseline="0">
              <a:solidFill>
                <a:srgbClr val="00B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0646331923863"/>
          <c:y val="0.27871257288477491"/>
          <c:w val="0.73724081364829397"/>
          <c:h val="0.58509794087862277"/>
        </c:manualLayout>
      </c:layout>
      <c:barChart>
        <c:barDir val="col"/>
        <c:grouping val="clustered"/>
        <c:varyColors val="0"/>
        <c:ser>
          <c:idx val="0"/>
          <c:order val="0"/>
          <c:tx>
            <c:strRef>
              <c:f>'order vs sales'!$B$1</c:f>
              <c:strCache>
                <c:ptCount val="1"/>
                <c:pt idx="0">
                  <c:v>Sum of Total Sales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 vs sales'!$A$2</c:f>
              <c:strCache>
                <c:ptCount val="1"/>
                <c:pt idx="0">
                  <c:v>September</c:v>
                </c:pt>
              </c:strCache>
            </c:strRef>
          </c:cat>
          <c:val>
            <c:numRef>
              <c:f>'order vs sales'!$B$2</c:f>
              <c:numCache>
                <c:formatCode>General</c:formatCode>
                <c:ptCount val="1"/>
                <c:pt idx="0">
                  <c:v>239000</c:v>
                </c:pt>
              </c:numCache>
            </c:numRef>
          </c:val>
          <c:extLst>
            <c:ext xmlns:c16="http://schemas.microsoft.com/office/drawing/2014/chart" uri="{C3380CC4-5D6E-409C-BE32-E72D297353CC}">
              <c16:uniqueId val="{00000000-510D-4EB1-AC65-93A9895E01C0}"/>
            </c:ext>
          </c:extLst>
        </c:ser>
        <c:ser>
          <c:idx val="1"/>
          <c:order val="1"/>
          <c:tx>
            <c:strRef>
              <c:f>'order vs sales'!$C$1</c:f>
              <c:strCache>
                <c:ptCount val="1"/>
                <c:pt idx="0">
                  <c:v>Count of Order 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 vs sales'!$A$2</c:f>
              <c:strCache>
                <c:ptCount val="1"/>
                <c:pt idx="0">
                  <c:v>September</c:v>
                </c:pt>
              </c:strCache>
            </c:strRef>
          </c:cat>
          <c:val>
            <c:numRef>
              <c:f>'order vs sales'!$C$2</c:f>
              <c:numCache>
                <c:formatCode>General</c:formatCode>
                <c:ptCount val="1"/>
                <c:pt idx="0">
                  <c:v>1</c:v>
                </c:pt>
              </c:numCache>
            </c:numRef>
          </c:val>
          <c:extLst>
            <c:ext xmlns:c16="http://schemas.microsoft.com/office/drawing/2014/chart" uri="{C3380CC4-5D6E-409C-BE32-E72D297353CC}">
              <c16:uniqueId val="{00000001-510D-4EB1-AC65-93A9895E01C0}"/>
            </c:ext>
          </c:extLst>
        </c:ser>
        <c:dLbls>
          <c:showLegendKey val="0"/>
          <c:showVal val="0"/>
          <c:showCatName val="0"/>
          <c:showSerName val="0"/>
          <c:showPercent val="0"/>
          <c:showBubbleSize val="0"/>
        </c:dLbls>
        <c:gapWidth val="219"/>
        <c:overlap val="-27"/>
        <c:axId val="902230640"/>
        <c:axId val="902227280"/>
      </c:barChart>
      <c:catAx>
        <c:axId val="902230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40" b="0" i="0" u="none" strike="noStrike" kern="1200" baseline="0">
                <a:solidFill>
                  <a:srgbClr val="FFC000"/>
                </a:solidFill>
                <a:latin typeface="+mn-lt"/>
                <a:ea typeface="+mn-ea"/>
                <a:cs typeface="+mn-cs"/>
              </a:defRPr>
            </a:pPr>
            <a:endParaRPr lang="en-US"/>
          </a:p>
        </c:txPr>
        <c:crossAx val="902227280"/>
        <c:crosses val="autoZero"/>
        <c:auto val="1"/>
        <c:lblAlgn val="ctr"/>
        <c:lblOffset val="100"/>
        <c:noMultiLvlLbl val="0"/>
      </c:catAx>
      <c:valAx>
        <c:axId val="902227280"/>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40" b="0" i="0" u="none" strike="noStrike" kern="1200" baseline="0">
                <a:solidFill>
                  <a:schemeClr val="lt1">
                    <a:lumMod val="85000"/>
                  </a:schemeClr>
                </a:solidFill>
                <a:latin typeface="+mn-lt"/>
                <a:ea typeface="+mn-ea"/>
                <a:cs typeface="+mn-cs"/>
              </a:defRPr>
            </a:pPr>
            <a:endParaRPr lang="en-US"/>
          </a:p>
        </c:txPr>
        <c:crossAx val="902230640"/>
        <c:crosses val="autoZero"/>
        <c:crossBetween val="between"/>
      </c:valAx>
      <c:spPr>
        <a:noFill/>
        <a:ln>
          <a:noFill/>
        </a:ln>
        <a:effectLst/>
      </c:spPr>
    </c:plotArea>
    <c:legend>
      <c:legendPos val="r"/>
      <c:layout>
        <c:manualLayout>
          <c:xMode val="edge"/>
          <c:yMode val="edge"/>
          <c:x val="0.69454660356125164"/>
          <c:y val="1.0886645479705092E-2"/>
          <c:w val="0.3054533690323355"/>
          <c:h val="0.208201137985211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New.xlsx]T.s(month.and prd.cat)!PivotTable2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r>
              <a:rPr lang="en-US" baseline="0"/>
              <a:t> : Month and Product category</a:t>
            </a:r>
            <a:endParaRPr lang="en-US"/>
          </a:p>
        </c:rich>
      </c:tx>
      <c:layout>
        <c:manualLayout>
          <c:xMode val="edge"/>
          <c:yMode val="edge"/>
          <c:x val="0.44819862011026973"/>
          <c:y val="0.8820299124592175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1688042540178E-2"/>
          <c:y val="0.17840429291678975"/>
          <c:w val="0.83048634253099862"/>
          <c:h val="0.34627814661693179"/>
        </c:manualLayout>
      </c:layout>
      <c:barChart>
        <c:barDir val="col"/>
        <c:grouping val="stacked"/>
        <c:varyColors val="0"/>
        <c:ser>
          <c:idx val="0"/>
          <c:order val="0"/>
          <c:tx>
            <c:strRef>
              <c:f>'T.s(month.and prd.cat)'!$B$1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'T.s(month.and prd.cat)'!$A$2:$A$73</c:f>
              <c:multiLvlStrCache>
                <c:ptCount val="60"/>
                <c:lvl>
                  <c:pt idx="0">
                    <c:v>Apparel</c:v>
                  </c:pt>
                  <c:pt idx="1">
                    <c:v>Electronics</c:v>
                  </c:pt>
                  <c:pt idx="2">
                    <c:v>Furniture</c:v>
                  </c:pt>
                  <c:pt idx="3">
                    <c:v>Groceries</c:v>
                  </c:pt>
                  <c:pt idx="4">
                    <c:v>Sports</c:v>
                  </c:pt>
                  <c:pt idx="5">
                    <c:v>Apparel</c:v>
                  </c:pt>
                  <c:pt idx="6">
                    <c:v>Electronics</c:v>
                  </c:pt>
                  <c:pt idx="7">
                    <c:v>Furniture</c:v>
                  </c:pt>
                  <c:pt idx="8">
                    <c:v>Groceries</c:v>
                  </c:pt>
                  <c:pt idx="9">
                    <c:v>Sports</c:v>
                  </c:pt>
                  <c:pt idx="10">
                    <c:v>Apparel</c:v>
                  </c:pt>
                  <c:pt idx="11">
                    <c:v>Electronics</c:v>
                  </c:pt>
                  <c:pt idx="12">
                    <c:v>Furniture</c:v>
                  </c:pt>
                  <c:pt idx="13">
                    <c:v>Groceries</c:v>
                  </c:pt>
                  <c:pt idx="14">
                    <c:v>Sports</c:v>
                  </c:pt>
                  <c:pt idx="15">
                    <c:v>Apparel</c:v>
                  </c:pt>
                  <c:pt idx="16">
                    <c:v>Electronics</c:v>
                  </c:pt>
                  <c:pt idx="17">
                    <c:v>Furniture</c:v>
                  </c:pt>
                  <c:pt idx="18">
                    <c:v>Groceries</c:v>
                  </c:pt>
                  <c:pt idx="19">
                    <c:v>Sports</c:v>
                  </c:pt>
                  <c:pt idx="20">
                    <c:v>Apparel</c:v>
                  </c:pt>
                  <c:pt idx="21">
                    <c:v>Electronics</c:v>
                  </c:pt>
                  <c:pt idx="22">
                    <c:v>Furniture</c:v>
                  </c:pt>
                  <c:pt idx="23">
                    <c:v>Groceries</c:v>
                  </c:pt>
                  <c:pt idx="24">
                    <c:v>Sports</c:v>
                  </c:pt>
                  <c:pt idx="25">
                    <c:v>Apparel</c:v>
                  </c:pt>
                  <c:pt idx="26">
                    <c:v>Electronics</c:v>
                  </c:pt>
                  <c:pt idx="27">
                    <c:v>Furniture</c:v>
                  </c:pt>
                  <c:pt idx="28">
                    <c:v>Groceries</c:v>
                  </c:pt>
                  <c:pt idx="29">
                    <c:v>Sports</c:v>
                  </c:pt>
                  <c:pt idx="30">
                    <c:v>Apparel</c:v>
                  </c:pt>
                  <c:pt idx="31">
                    <c:v>Electronics</c:v>
                  </c:pt>
                  <c:pt idx="32">
                    <c:v>Furniture</c:v>
                  </c:pt>
                  <c:pt idx="33">
                    <c:v>Groceries</c:v>
                  </c:pt>
                  <c:pt idx="34">
                    <c:v>Sports</c:v>
                  </c:pt>
                  <c:pt idx="35">
                    <c:v>Apparel</c:v>
                  </c:pt>
                  <c:pt idx="36">
                    <c:v>Electronics</c:v>
                  </c:pt>
                  <c:pt idx="37">
                    <c:v>Furniture</c:v>
                  </c:pt>
                  <c:pt idx="38">
                    <c:v>Groceries</c:v>
                  </c:pt>
                  <c:pt idx="39">
                    <c:v>Sports</c:v>
                  </c:pt>
                  <c:pt idx="40">
                    <c:v>Apparel</c:v>
                  </c:pt>
                  <c:pt idx="41">
                    <c:v>Electronics</c:v>
                  </c:pt>
                  <c:pt idx="42">
                    <c:v>Furniture</c:v>
                  </c:pt>
                  <c:pt idx="43">
                    <c:v>Groceries</c:v>
                  </c:pt>
                  <c:pt idx="44">
                    <c:v>Sports</c:v>
                  </c:pt>
                  <c:pt idx="45">
                    <c:v>Apparel</c:v>
                  </c:pt>
                  <c:pt idx="46">
                    <c:v>Electronics</c:v>
                  </c:pt>
                  <c:pt idx="47">
                    <c:v>Furniture</c:v>
                  </c:pt>
                  <c:pt idx="48">
                    <c:v>Groceries</c:v>
                  </c:pt>
                  <c:pt idx="49">
                    <c:v>Sports</c:v>
                  </c:pt>
                  <c:pt idx="50">
                    <c:v>Apparel</c:v>
                  </c:pt>
                  <c:pt idx="51">
                    <c:v>Electronics</c:v>
                  </c:pt>
                  <c:pt idx="52">
                    <c:v>Furniture</c:v>
                  </c:pt>
                  <c:pt idx="53">
                    <c:v>Groceries</c:v>
                  </c:pt>
                  <c:pt idx="54">
                    <c:v>Sports</c:v>
                  </c:pt>
                  <c:pt idx="55">
                    <c:v>Apparel</c:v>
                  </c:pt>
                  <c:pt idx="56">
                    <c:v>Electronics</c:v>
                  </c:pt>
                  <c:pt idx="57">
                    <c:v>Furniture</c:v>
                  </c:pt>
                  <c:pt idx="58">
                    <c:v>Groceries</c:v>
                  </c:pt>
                  <c:pt idx="59">
                    <c:v>Sports</c:v>
                  </c:pt>
                </c:lvl>
                <c:lvl>
                  <c:pt idx="0">
                    <c:v>January</c:v>
                  </c:pt>
                  <c:pt idx="5">
                    <c:v>February</c:v>
                  </c:pt>
                  <c:pt idx="10">
                    <c:v>March</c:v>
                  </c:pt>
                  <c:pt idx="15">
                    <c:v>April</c:v>
                  </c:pt>
                  <c:pt idx="20">
                    <c:v>May</c:v>
                  </c:pt>
                  <c:pt idx="25">
                    <c:v>June</c:v>
                  </c:pt>
                  <c:pt idx="30">
                    <c:v>July</c:v>
                  </c:pt>
                  <c:pt idx="35">
                    <c:v>August</c:v>
                  </c:pt>
                  <c:pt idx="40">
                    <c:v>September</c:v>
                  </c:pt>
                  <c:pt idx="45">
                    <c:v>October</c:v>
                  </c:pt>
                  <c:pt idx="50">
                    <c:v>November</c:v>
                  </c:pt>
                  <c:pt idx="55">
                    <c:v>December</c:v>
                  </c:pt>
                </c:lvl>
              </c:multiLvlStrCache>
            </c:multiLvlStrRef>
          </c:cat>
          <c:val>
            <c:numRef>
              <c:f>'T.s(month.and prd.cat)'!$B$2:$B$73</c:f>
              <c:numCache>
                <c:formatCode>General</c:formatCode>
                <c:ptCount val="60"/>
                <c:pt idx="0">
                  <c:v>1368103</c:v>
                </c:pt>
                <c:pt idx="1">
                  <c:v>3758978</c:v>
                </c:pt>
                <c:pt idx="2">
                  <c:v>2314779</c:v>
                </c:pt>
                <c:pt idx="3">
                  <c:v>117313</c:v>
                </c:pt>
                <c:pt idx="4">
                  <c:v>3343656</c:v>
                </c:pt>
                <c:pt idx="5">
                  <c:v>2325977</c:v>
                </c:pt>
                <c:pt idx="6">
                  <c:v>2454320</c:v>
                </c:pt>
                <c:pt idx="7">
                  <c:v>2907378</c:v>
                </c:pt>
                <c:pt idx="8">
                  <c:v>77550</c:v>
                </c:pt>
                <c:pt idx="9">
                  <c:v>2558729</c:v>
                </c:pt>
                <c:pt idx="10">
                  <c:v>3757992</c:v>
                </c:pt>
                <c:pt idx="11">
                  <c:v>1238770</c:v>
                </c:pt>
                <c:pt idx="12">
                  <c:v>2659773</c:v>
                </c:pt>
                <c:pt idx="13">
                  <c:v>92007</c:v>
                </c:pt>
                <c:pt idx="14">
                  <c:v>2332061</c:v>
                </c:pt>
                <c:pt idx="15">
                  <c:v>1798239</c:v>
                </c:pt>
                <c:pt idx="16">
                  <c:v>3306507</c:v>
                </c:pt>
                <c:pt idx="17">
                  <c:v>2773524</c:v>
                </c:pt>
                <c:pt idx="18">
                  <c:v>90087</c:v>
                </c:pt>
                <c:pt idx="19">
                  <c:v>3238602</c:v>
                </c:pt>
                <c:pt idx="20">
                  <c:v>1969261</c:v>
                </c:pt>
                <c:pt idx="21">
                  <c:v>2589401</c:v>
                </c:pt>
                <c:pt idx="22">
                  <c:v>3085288</c:v>
                </c:pt>
                <c:pt idx="23">
                  <c:v>99390</c:v>
                </c:pt>
                <c:pt idx="24">
                  <c:v>1785567</c:v>
                </c:pt>
                <c:pt idx="25">
                  <c:v>1289460</c:v>
                </c:pt>
                <c:pt idx="26">
                  <c:v>2407971</c:v>
                </c:pt>
                <c:pt idx="27">
                  <c:v>3890649</c:v>
                </c:pt>
                <c:pt idx="28">
                  <c:v>68911</c:v>
                </c:pt>
                <c:pt idx="29">
                  <c:v>2862352</c:v>
                </c:pt>
                <c:pt idx="30">
                  <c:v>2869137</c:v>
                </c:pt>
                <c:pt idx="31">
                  <c:v>3430248</c:v>
                </c:pt>
                <c:pt idx="32">
                  <c:v>2516971</c:v>
                </c:pt>
                <c:pt idx="33">
                  <c:v>50061</c:v>
                </c:pt>
                <c:pt idx="34">
                  <c:v>2874121</c:v>
                </c:pt>
                <c:pt idx="35">
                  <c:v>2715502</c:v>
                </c:pt>
                <c:pt idx="36">
                  <c:v>2550735</c:v>
                </c:pt>
                <c:pt idx="37">
                  <c:v>3010888</c:v>
                </c:pt>
                <c:pt idx="38">
                  <c:v>49571</c:v>
                </c:pt>
                <c:pt idx="39">
                  <c:v>2609173</c:v>
                </c:pt>
                <c:pt idx="40">
                  <c:v>1732048</c:v>
                </c:pt>
                <c:pt idx="41">
                  <c:v>3217561</c:v>
                </c:pt>
                <c:pt idx="42">
                  <c:v>2858591</c:v>
                </c:pt>
                <c:pt idx="43">
                  <c:v>42305</c:v>
                </c:pt>
                <c:pt idx="44">
                  <c:v>2799766</c:v>
                </c:pt>
                <c:pt idx="45">
                  <c:v>777866</c:v>
                </c:pt>
                <c:pt idx="46">
                  <c:v>1729154</c:v>
                </c:pt>
                <c:pt idx="47">
                  <c:v>995174</c:v>
                </c:pt>
                <c:pt idx="48">
                  <c:v>94111</c:v>
                </c:pt>
                <c:pt idx="49">
                  <c:v>2181290</c:v>
                </c:pt>
                <c:pt idx="50">
                  <c:v>1584928</c:v>
                </c:pt>
                <c:pt idx="51">
                  <c:v>881041</c:v>
                </c:pt>
                <c:pt idx="52">
                  <c:v>1383032</c:v>
                </c:pt>
                <c:pt idx="53">
                  <c:v>111618</c:v>
                </c:pt>
                <c:pt idx="54">
                  <c:v>1104911</c:v>
                </c:pt>
                <c:pt idx="55">
                  <c:v>1966325</c:v>
                </c:pt>
                <c:pt idx="56">
                  <c:v>2014546</c:v>
                </c:pt>
                <c:pt idx="57">
                  <c:v>972200</c:v>
                </c:pt>
                <c:pt idx="58">
                  <c:v>41016</c:v>
                </c:pt>
                <c:pt idx="59">
                  <c:v>1382925</c:v>
                </c:pt>
              </c:numCache>
            </c:numRef>
          </c:val>
          <c:extLst>
            <c:ext xmlns:c16="http://schemas.microsoft.com/office/drawing/2014/chart" uri="{C3380CC4-5D6E-409C-BE32-E72D297353CC}">
              <c16:uniqueId val="{00000000-D4CD-41D5-AFB5-6D46AD4C6FA0}"/>
            </c:ext>
          </c:extLst>
        </c:ser>
        <c:dLbls>
          <c:showLegendKey val="0"/>
          <c:showVal val="0"/>
          <c:showCatName val="0"/>
          <c:showSerName val="0"/>
          <c:showPercent val="0"/>
          <c:showBubbleSize val="0"/>
        </c:dLbls>
        <c:gapWidth val="150"/>
        <c:overlap val="100"/>
        <c:axId val="1114180960"/>
        <c:axId val="1114195840"/>
      </c:barChart>
      <c:catAx>
        <c:axId val="1114180960"/>
        <c:scaling>
          <c:orientation val="minMax"/>
        </c:scaling>
        <c:delete val="0"/>
        <c:axPos val="b"/>
        <c:numFmt formatCode="General" sourceLinked="1"/>
        <c:majorTickMark val="none"/>
        <c:minorTickMark val="none"/>
        <c:tickLblPos val="nextTo"/>
        <c:spPr>
          <a:noFill/>
          <a:ln w="12700" cap="flat" cmpd="sng" algn="ctr">
            <a:solidFill>
              <a:schemeClr val="accent1"/>
            </a:solidFill>
            <a:round/>
            <a:tailEnd type="none"/>
          </a:ln>
          <a:effectLst/>
        </c:spPr>
        <c:txPr>
          <a:bodyPr rot="-60000000" spcFirstLastPara="1" vertOverflow="ellipsis" vert="horz" wrap="square" anchor="ctr" anchorCtr="1"/>
          <a:lstStyle/>
          <a:p>
            <a:pPr>
              <a:defRPr sz="920" b="0" i="0" u="none" strike="noStrike" kern="1200" baseline="0">
                <a:solidFill>
                  <a:schemeClr val="lt1">
                    <a:lumMod val="85000"/>
                  </a:schemeClr>
                </a:solidFill>
                <a:latin typeface="+mn-lt"/>
                <a:ea typeface="+mn-ea"/>
                <a:cs typeface="+mn-cs"/>
              </a:defRPr>
            </a:pPr>
            <a:endParaRPr lang="en-US"/>
          </a:p>
        </c:txPr>
        <c:crossAx val="1114195840"/>
        <c:crosses val="autoZero"/>
        <c:auto val="1"/>
        <c:lblAlgn val="ctr"/>
        <c:lblOffset val="100"/>
        <c:noMultiLvlLbl val="0"/>
      </c:catAx>
      <c:valAx>
        <c:axId val="1114195840"/>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418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[Mandeep kps store  project excel New.xlsx]Age and gender!PivotTable3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Age Group and Gender</a:t>
            </a:r>
            <a:r>
              <a:rPr lang="en-US"/>
              <a:t> </a:t>
            </a:r>
          </a:p>
        </c:rich>
      </c:tx>
      <c:layout>
        <c:manualLayout>
          <c:xMode val="edge"/>
          <c:yMode val="edge"/>
          <c:x val="0.10739243390433321"/>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8331898947848288E-2"/>
              <c:y val="3.232635057462986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26612240725343"/>
                  <c:h val="0.18886994178099448"/>
                </c:manualLayout>
              </c15:layout>
            </c:ext>
          </c:extLst>
        </c:dLbl>
      </c:pivotFmt>
      <c:pivotFmt>
        <c:idx val="2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2246612174857139"/>
          <c:y val="0.34439179453309399"/>
          <c:w val="0.36337747553320526"/>
          <c:h val="0.55289732237782252"/>
        </c:manualLayout>
      </c:layout>
      <c:pieChart>
        <c:varyColors val="1"/>
        <c:ser>
          <c:idx val="0"/>
          <c:order val="0"/>
          <c:tx>
            <c:strRef>
              <c:f>'Age and gender'!$B$1</c:f>
              <c:strCache>
                <c:ptCount val="1"/>
                <c:pt idx="0">
                  <c:v>Sum of Total Sales (₹)</c:v>
                </c:pt>
              </c:strCache>
            </c:strRef>
          </c:tx>
          <c:dPt>
            <c:idx val="0"/>
            <c:bubble3D val="0"/>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903-43EE-A6EC-AF7A00FF539D}"/>
              </c:ext>
            </c:extLst>
          </c:dPt>
          <c:dPt>
            <c:idx val="1"/>
            <c:bubble3D val="0"/>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903-43EE-A6EC-AF7A00FF539D}"/>
              </c:ext>
            </c:extLst>
          </c:dPt>
          <c:dPt>
            <c:idx val="2"/>
            <c:bubble3D val="0"/>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903-43EE-A6EC-AF7A00FF539D}"/>
              </c:ext>
            </c:extLst>
          </c:dPt>
          <c:dPt>
            <c:idx val="3"/>
            <c:bubble3D val="0"/>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903-43EE-A6EC-AF7A00FF539D}"/>
              </c:ext>
            </c:extLst>
          </c:dPt>
          <c:dPt>
            <c:idx val="4"/>
            <c:bubble3D val="0"/>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903-43EE-A6EC-AF7A00FF539D}"/>
              </c:ext>
            </c:extLst>
          </c:dPt>
          <c:dPt>
            <c:idx val="5"/>
            <c:bubble3D val="0"/>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903-43EE-A6EC-AF7A00FF539D}"/>
              </c:ext>
            </c:extLst>
          </c:dPt>
          <c:dLbls>
            <c:dLbl>
              <c:idx val="5"/>
              <c:layout>
                <c:manualLayout>
                  <c:x val="-6.8331898947848288E-2"/>
                  <c:y val="3.232635057462986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726612240725343"/>
                      <c:h val="0.18886994178099448"/>
                    </c:manualLayout>
                  </c15:layout>
                </c:ext>
                <c:ext xmlns:c16="http://schemas.microsoft.com/office/drawing/2014/chart" uri="{C3380CC4-5D6E-409C-BE32-E72D297353CC}">
                  <c16:uniqueId val="{0000000B-7903-43EE-A6EC-AF7A00FF539D}"/>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'Age and gender'!$A$2:$A$10</c:f>
              <c:multiLvlStrCache>
                <c:ptCount val="6"/>
                <c:lvl>
                  <c:pt idx="0">
                    <c:v>Men</c:v>
                  </c:pt>
                  <c:pt idx="1">
                    <c:v>Women</c:v>
                  </c:pt>
                  <c:pt idx="2">
                    <c:v>Men</c:v>
                  </c:pt>
                  <c:pt idx="3">
                    <c:v>Women</c:v>
                  </c:pt>
                  <c:pt idx="4">
                    <c:v>Men</c:v>
                  </c:pt>
                  <c:pt idx="5">
                    <c:v>Women</c:v>
                  </c:pt>
                </c:lvl>
                <c:lvl>
                  <c:pt idx="0">
                    <c:v>Adult</c:v>
                  </c:pt>
                  <c:pt idx="2">
                    <c:v>Senior</c:v>
                  </c:pt>
                  <c:pt idx="4">
                    <c:v>Teenager</c:v>
                  </c:pt>
                </c:lvl>
              </c:multiLvlStrCache>
            </c:multiLvlStrRef>
          </c:cat>
          <c:val>
            <c:numRef>
              <c:f>'Age and gender'!$B$2:$B$10</c:f>
              <c:numCache>
                <c:formatCode>General</c:formatCode>
                <c:ptCount val="6"/>
                <c:pt idx="0">
                  <c:v>25413935</c:v>
                </c:pt>
                <c:pt idx="1">
                  <c:v>29223926</c:v>
                </c:pt>
                <c:pt idx="2">
                  <c:v>14954566</c:v>
                </c:pt>
                <c:pt idx="3">
                  <c:v>13744066</c:v>
                </c:pt>
                <c:pt idx="4">
                  <c:v>15474715</c:v>
                </c:pt>
                <c:pt idx="5">
                  <c:v>14298202</c:v>
                </c:pt>
              </c:numCache>
            </c:numRef>
          </c:val>
          <c:extLst>
            <c:ext xmlns:c16="http://schemas.microsoft.com/office/drawing/2014/chart" uri="{C3380CC4-5D6E-409C-BE32-E72D297353CC}">
              <c16:uniqueId val="{0000000C-7903-43EE-A6EC-AF7A00FF539D}"/>
            </c:ext>
          </c:extLst>
        </c:ser>
        <c:ser>
          <c:idx val="1"/>
          <c:order val="1"/>
          <c:tx>
            <c:strRef>
              <c:f>'Age and gender'!$C$1</c:f>
              <c:strCache>
                <c:ptCount val="1"/>
                <c:pt idx="0">
                  <c:v>Count of Repeat Purchase</c:v>
                </c:pt>
              </c:strCache>
            </c:strRef>
          </c:tx>
          <c:dPt>
            <c:idx val="0"/>
            <c:bubble3D val="0"/>
            <c:spPr>
              <a:gradFill rotWithShape="1">
                <a:gsLst>
                  <a:gs pos="0">
                    <a:schemeClr val="accent4">
                      <a:shade val="50000"/>
                      <a:shade val="51000"/>
                      <a:satMod val="130000"/>
                    </a:schemeClr>
                  </a:gs>
                  <a:gs pos="80000">
                    <a:schemeClr val="accent4">
                      <a:shade val="50000"/>
                      <a:shade val="93000"/>
                      <a:satMod val="130000"/>
                    </a:schemeClr>
                  </a:gs>
                  <a:gs pos="100000">
                    <a:schemeClr val="accent4">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7903-43EE-A6EC-AF7A00FF539D}"/>
              </c:ext>
            </c:extLst>
          </c:dPt>
          <c:dPt>
            <c:idx val="1"/>
            <c:bubble3D val="0"/>
            <c:spPr>
              <a:gradFill rotWithShape="1">
                <a:gsLst>
                  <a:gs pos="0">
                    <a:schemeClr val="accent4">
                      <a:shade val="70000"/>
                      <a:shade val="51000"/>
                      <a:satMod val="130000"/>
                    </a:schemeClr>
                  </a:gs>
                  <a:gs pos="80000">
                    <a:schemeClr val="accent4">
                      <a:shade val="70000"/>
                      <a:shade val="93000"/>
                      <a:satMod val="130000"/>
                    </a:schemeClr>
                  </a:gs>
                  <a:gs pos="100000">
                    <a:schemeClr val="accent4">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7903-43EE-A6EC-AF7A00FF539D}"/>
              </c:ext>
            </c:extLst>
          </c:dPt>
          <c:dPt>
            <c:idx val="2"/>
            <c:bubble3D val="0"/>
            <c:spPr>
              <a:gradFill rotWithShape="1">
                <a:gsLst>
                  <a:gs pos="0">
                    <a:schemeClr val="accent4">
                      <a:shade val="90000"/>
                      <a:shade val="51000"/>
                      <a:satMod val="130000"/>
                    </a:schemeClr>
                  </a:gs>
                  <a:gs pos="80000">
                    <a:schemeClr val="accent4">
                      <a:shade val="90000"/>
                      <a:shade val="93000"/>
                      <a:satMod val="130000"/>
                    </a:schemeClr>
                  </a:gs>
                  <a:gs pos="100000">
                    <a:schemeClr val="accent4">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7903-43EE-A6EC-AF7A00FF539D}"/>
              </c:ext>
            </c:extLst>
          </c:dPt>
          <c:dPt>
            <c:idx val="3"/>
            <c:bubble3D val="0"/>
            <c:spPr>
              <a:gradFill rotWithShape="1">
                <a:gsLst>
                  <a:gs pos="0">
                    <a:schemeClr val="accent4">
                      <a:tint val="90000"/>
                      <a:shade val="51000"/>
                      <a:satMod val="130000"/>
                    </a:schemeClr>
                  </a:gs>
                  <a:gs pos="80000">
                    <a:schemeClr val="accent4">
                      <a:tint val="90000"/>
                      <a:shade val="93000"/>
                      <a:satMod val="130000"/>
                    </a:schemeClr>
                  </a:gs>
                  <a:gs pos="100000">
                    <a:schemeClr val="accent4">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7903-43EE-A6EC-AF7A00FF539D}"/>
              </c:ext>
            </c:extLst>
          </c:dPt>
          <c:dPt>
            <c:idx val="4"/>
            <c:bubble3D val="0"/>
            <c:spPr>
              <a:gradFill rotWithShape="1">
                <a:gsLst>
                  <a:gs pos="0">
                    <a:schemeClr val="accent4">
                      <a:tint val="70000"/>
                      <a:shade val="51000"/>
                      <a:satMod val="130000"/>
                    </a:schemeClr>
                  </a:gs>
                  <a:gs pos="80000">
                    <a:schemeClr val="accent4">
                      <a:tint val="70000"/>
                      <a:shade val="93000"/>
                      <a:satMod val="130000"/>
                    </a:schemeClr>
                  </a:gs>
                  <a:gs pos="100000">
                    <a:schemeClr val="accent4">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7903-43EE-A6EC-AF7A00FF539D}"/>
              </c:ext>
            </c:extLst>
          </c:dPt>
          <c:dPt>
            <c:idx val="5"/>
            <c:bubble3D val="0"/>
            <c:spPr>
              <a:gradFill rotWithShape="1">
                <a:gsLst>
                  <a:gs pos="0">
                    <a:schemeClr val="accent4">
                      <a:tint val="50000"/>
                      <a:shade val="51000"/>
                      <a:satMod val="130000"/>
                    </a:schemeClr>
                  </a:gs>
                  <a:gs pos="80000">
                    <a:schemeClr val="accent4">
                      <a:tint val="50000"/>
                      <a:shade val="93000"/>
                      <a:satMod val="130000"/>
                    </a:schemeClr>
                  </a:gs>
                  <a:gs pos="100000">
                    <a:schemeClr val="accent4">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7903-43EE-A6EC-AF7A00FF539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'Age and gender'!$A$2:$A$10</c:f>
              <c:multiLvlStrCache>
                <c:ptCount val="6"/>
                <c:lvl>
                  <c:pt idx="0">
                    <c:v>Men</c:v>
                  </c:pt>
                  <c:pt idx="1">
                    <c:v>Women</c:v>
                  </c:pt>
                  <c:pt idx="2">
                    <c:v>Men</c:v>
                  </c:pt>
                  <c:pt idx="3">
                    <c:v>Women</c:v>
                  </c:pt>
                  <c:pt idx="4">
                    <c:v>Men</c:v>
                  </c:pt>
                  <c:pt idx="5">
                    <c:v>Women</c:v>
                  </c:pt>
                </c:lvl>
                <c:lvl>
                  <c:pt idx="0">
                    <c:v>Adult</c:v>
                  </c:pt>
                  <c:pt idx="2">
                    <c:v>Senior</c:v>
                  </c:pt>
                  <c:pt idx="4">
                    <c:v>Teenager</c:v>
                  </c:pt>
                </c:lvl>
              </c:multiLvlStrCache>
            </c:multiLvlStrRef>
          </c:cat>
          <c:val>
            <c:numRef>
              <c:f>'Age and gender'!$C$2:$C$10</c:f>
              <c:numCache>
                <c:formatCode>General</c:formatCode>
                <c:ptCount val="6"/>
                <c:pt idx="0">
                  <c:v>226</c:v>
                </c:pt>
                <c:pt idx="1">
                  <c:v>253</c:v>
                </c:pt>
                <c:pt idx="2">
                  <c:v>136</c:v>
                </c:pt>
                <c:pt idx="3">
                  <c:v>135</c:v>
                </c:pt>
                <c:pt idx="4">
                  <c:v>124</c:v>
                </c:pt>
                <c:pt idx="5">
                  <c:v>126</c:v>
                </c:pt>
              </c:numCache>
            </c:numRef>
          </c:val>
          <c:extLst>
            <c:ext xmlns:c16="http://schemas.microsoft.com/office/drawing/2014/chart" uri="{C3380CC4-5D6E-409C-BE32-E72D297353CC}">
              <c16:uniqueId val="{00000019-7903-43EE-A6EC-AF7A00FF539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New.xlsx]sales trends over months!PivotTable4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Regional Sales Trends Over Months</a:t>
            </a:r>
          </a:p>
        </c:rich>
      </c:tx>
      <c:layout>
        <c:manualLayout>
          <c:xMode val="edge"/>
          <c:yMode val="edge"/>
          <c:x val="0.21056989172823529"/>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47499109843427E-2"/>
          <c:y val="0.153805534238078"/>
          <c:w val="0.82064257472039581"/>
          <c:h val="0.58309560322328691"/>
        </c:manualLayout>
      </c:layout>
      <c:barChart>
        <c:barDir val="col"/>
        <c:grouping val="clustered"/>
        <c:varyColors val="0"/>
        <c:ser>
          <c:idx val="0"/>
          <c:order val="0"/>
          <c:tx>
            <c:strRef>
              <c:f>'sales trends over months'!$B$1:$B$2</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trends over months'!$A$3:$A$14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trends over months'!$B$3:$B$14</c:f>
              <c:numCache>
                <c:formatCode>General</c:formatCode>
                <c:ptCount val="12"/>
                <c:pt idx="0">
                  <c:v>801721</c:v>
                </c:pt>
                <c:pt idx="1">
                  <c:v>649032</c:v>
                </c:pt>
                <c:pt idx="2">
                  <c:v>60255</c:v>
                </c:pt>
                <c:pt idx="3">
                  <c:v>1095535</c:v>
                </c:pt>
                <c:pt idx="4">
                  <c:v>635254</c:v>
                </c:pt>
                <c:pt idx="5">
                  <c:v>423784</c:v>
                </c:pt>
                <c:pt idx="6">
                  <c:v>779027</c:v>
                </c:pt>
                <c:pt idx="7">
                  <c:v>384858</c:v>
                </c:pt>
                <c:pt idx="8">
                  <c:v>1287210</c:v>
                </c:pt>
                <c:pt idx="9">
                  <c:v>691806</c:v>
                </c:pt>
                <c:pt idx="10">
                  <c:v>145075</c:v>
                </c:pt>
                <c:pt idx="11">
                  <c:v>317873</c:v>
                </c:pt>
              </c:numCache>
            </c:numRef>
          </c:val>
          <c:extLst>
            <c:ext xmlns:c16="http://schemas.microsoft.com/office/drawing/2014/chart" uri="{C3380CC4-5D6E-409C-BE32-E72D297353CC}">
              <c16:uniqueId val="{00000000-C558-43D3-BACF-8665832D8475}"/>
            </c:ext>
          </c:extLst>
        </c:ser>
        <c:dLbls>
          <c:showLegendKey val="0"/>
          <c:showVal val="0"/>
          <c:showCatName val="0"/>
          <c:showSerName val="0"/>
          <c:showPercent val="0"/>
          <c:showBubbleSize val="0"/>
        </c:dLbls>
        <c:gapWidth val="100"/>
        <c:overlap val="-24"/>
        <c:axId val="2068721264"/>
        <c:axId val="2068718864"/>
      </c:barChart>
      <c:catAx>
        <c:axId val="20687212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718864"/>
        <c:crosses val="autoZero"/>
        <c:auto val="1"/>
        <c:lblAlgn val="ctr"/>
        <c:lblOffset val="100"/>
        <c:noMultiLvlLbl val="0"/>
      </c:catAx>
      <c:valAx>
        <c:axId val="20687188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Sales</a:t>
                </a:r>
              </a:p>
            </c:rich>
          </c:tx>
          <c:layout>
            <c:manualLayout>
              <c:xMode val="edge"/>
              <c:yMode val="edge"/>
              <c:x val="5.910710710799824E-3"/>
              <c:y val="0.3451399705386530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7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New.xlsx]del.days&amp; cust.rating!PivotTable5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a:t>
            </a:r>
            <a:r>
              <a:rPr lang="en-IN" baseline="0"/>
              <a:t> of Delivery Days and Customer Rating</a:t>
            </a:r>
            <a:endParaRPr lang="en-IN"/>
          </a:p>
        </c:rich>
      </c:tx>
      <c:layout>
        <c:manualLayout>
          <c:xMode val="edge"/>
          <c:yMode val="edge"/>
          <c:x val="0.27272596639099839"/>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63015279751019E-2"/>
          <c:y val="0.10549986466438753"/>
          <c:w val="0.60887059790518583"/>
          <c:h val="0.32509607943441027"/>
        </c:manualLayout>
      </c:layout>
      <c:barChart>
        <c:barDir val="col"/>
        <c:grouping val="clustered"/>
        <c:varyColors val="0"/>
        <c:ser>
          <c:idx val="0"/>
          <c:order val="0"/>
          <c:tx>
            <c:strRef>
              <c:f>'del.days&amp; cust.rating'!$B$1</c:f>
              <c:strCache>
                <c:ptCount val="1"/>
                <c:pt idx="0">
                  <c:v>Sum of Delivery Days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'del.days&amp; cust.rating'!$A$2:$A$26</c:f>
              <c:multiLvlStrCache>
                <c:ptCount val="21"/>
                <c:lvl>
                  <c:pt idx="1">
                    <c:v>Apparel</c:v>
                  </c:pt>
                  <c:pt idx="2">
                    <c:v>Electronics</c:v>
                  </c:pt>
                  <c:pt idx="3">
                    <c:v>Furniture</c:v>
                  </c:pt>
                  <c:pt idx="4">
                    <c:v>Groceries</c:v>
                  </c:pt>
                  <c:pt idx="5">
                    <c:v>Sports</c:v>
                  </c:pt>
                  <c:pt idx="6">
                    <c:v>Apparel</c:v>
                  </c:pt>
                  <c:pt idx="7">
                    <c:v>Electronics</c:v>
                  </c:pt>
                  <c:pt idx="8">
                    <c:v>Furniture</c:v>
                  </c:pt>
                  <c:pt idx="9">
                    <c:v>Groceries</c:v>
                  </c:pt>
                  <c:pt idx="10">
                    <c:v>Sports</c:v>
                  </c:pt>
                  <c:pt idx="11">
                    <c:v>Apparel</c:v>
                  </c:pt>
                  <c:pt idx="12">
                    <c:v>Electronics</c:v>
                  </c:pt>
                  <c:pt idx="13">
                    <c:v>Furniture</c:v>
                  </c:pt>
                  <c:pt idx="14">
                    <c:v>Groceries</c:v>
                  </c:pt>
                  <c:pt idx="15">
                    <c:v>Sports</c:v>
                  </c:pt>
                  <c:pt idx="16">
                    <c:v>Apparel</c:v>
                  </c:pt>
                  <c:pt idx="17">
                    <c:v>Electronics</c:v>
                  </c:pt>
                  <c:pt idx="18">
                    <c:v>Furniture</c:v>
                  </c:pt>
                  <c:pt idx="19">
                    <c:v>Groceries</c:v>
                  </c:pt>
                  <c:pt idx="20">
                    <c:v>Sports</c:v>
                  </c:pt>
                </c:lvl>
                <c:lvl>
                  <c:pt idx="0">
                    <c:v>Cash on Delivery</c:v>
                  </c:pt>
                  <c:pt idx="1">
                    <c:v>Credit Card</c:v>
                  </c:pt>
                  <c:pt idx="6">
                    <c:v>Debit Card</c:v>
                  </c:pt>
                  <c:pt idx="11">
                    <c:v>Net Banking</c:v>
                  </c:pt>
                  <c:pt idx="16">
                    <c:v>UPI</c:v>
                  </c:pt>
                </c:lvl>
              </c:multiLvlStrCache>
            </c:multiLvlStrRef>
          </c:cat>
          <c:val>
            <c:numRef>
              <c:f>'del.days&amp; cust.rating'!$B$2:$B$26</c:f>
              <c:numCache>
                <c:formatCode>General</c:formatCode>
                <c:ptCount val="21"/>
                <c:pt idx="0">
                  <c:v>1086</c:v>
                </c:pt>
                <c:pt idx="1">
                  <c:v>209</c:v>
                </c:pt>
                <c:pt idx="2">
                  <c:v>254</c:v>
                </c:pt>
                <c:pt idx="3">
                  <c:v>271</c:v>
                </c:pt>
                <c:pt idx="4">
                  <c:v>224</c:v>
                </c:pt>
                <c:pt idx="5">
                  <c:v>253</c:v>
                </c:pt>
                <c:pt idx="6">
                  <c:v>210</c:v>
                </c:pt>
                <c:pt idx="7">
                  <c:v>262</c:v>
                </c:pt>
                <c:pt idx="8">
                  <c:v>211</c:v>
                </c:pt>
                <c:pt idx="9">
                  <c:v>189</c:v>
                </c:pt>
                <c:pt idx="10">
                  <c:v>203</c:v>
                </c:pt>
                <c:pt idx="11">
                  <c:v>149</c:v>
                </c:pt>
                <c:pt idx="12">
                  <c:v>202</c:v>
                </c:pt>
                <c:pt idx="13">
                  <c:v>223</c:v>
                </c:pt>
                <c:pt idx="14">
                  <c:v>187</c:v>
                </c:pt>
                <c:pt idx="15">
                  <c:v>243</c:v>
                </c:pt>
                <c:pt idx="16">
                  <c:v>230</c:v>
                </c:pt>
                <c:pt idx="17">
                  <c:v>237</c:v>
                </c:pt>
                <c:pt idx="18">
                  <c:v>231</c:v>
                </c:pt>
                <c:pt idx="19">
                  <c:v>186</c:v>
                </c:pt>
                <c:pt idx="20">
                  <c:v>273</c:v>
                </c:pt>
              </c:numCache>
            </c:numRef>
          </c:val>
          <c:extLst>
            <c:ext xmlns:c16="http://schemas.microsoft.com/office/drawing/2014/chart" uri="{C3380CC4-5D6E-409C-BE32-E72D297353CC}">
              <c16:uniqueId val="{00000000-5D07-46FC-BD7F-C281FE31041C}"/>
            </c:ext>
          </c:extLst>
        </c:ser>
        <c:dLbls>
          <c:showLegendKey val="0"/>
          <c:showVal val="0"/>
          <c:showCatName val="0"/>
          <c:showSerName val="0"/>
          <c:showPercent val="0"/>
          <c:showBubbleSize val="0"/>
        </c:dLbls>
        <c:gapWidth val="219"/>
        <c:overlap val="-27"/>
        <c:axId val="2068727504"/>
        <c:axId val="2068711184"/>
      </c:barChart>
      <c:lineChart>
        <c:grouping val="standard"/>
        <c:varyColors val="0"/>
        <c:ser>
          <c:idx val="1"/>
          <c:order val="1"/>
          <c:tx>
            <c:strRef>
              <c:f>'del.days&amp; cust.rating'!$C$1</c:f>
              <c:strCache>
                <c:ptCount val="1"/>
                <c:pt idx="0">
                  <c:v>Sum of Customer Rating</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'del.days&amp; cust.rating'!$A$2:$A$26</c:f>
              <c:multiLvlStrCache>
                <c:ptCount val="21"/>
                <c:lvl>
                  <c:pt idx="1">
                    <c:v>Apparel</c:v>
                  </c:pt>
                  <c:pt idx="2">
                    <c:v>Electronics</c:v>
                  </c:pt>
                  <c:pt idx="3">
                    <c:v>Furniture</c:v>
                  </c:pt>
                  <c:pt idx="4">
                    <c:v>Groceries</c:v>
                  </c:pt>
                  <c:pt idx="5">
                    <c:v>Sports</c:v>
                  </c:pt>
                  <c:pt idx="6">
                    <c:v>Apparel</c:v>
                  </c:pt>
                  <c:pt idx="7">
                    <c:v>Electronics</c:v>
                  </c:pt>
                  <c:pt idx="8">
                    <c:v>Furniture</c:v>
                  </c:pt>
                  <c:pt idx="9">
                    <c:v>Groceries</c:v>
                  </c:pt>
                  <c:pt idx="10">
                    <c:v>Sports</c:v>
                  </c:pt>
                  <c:pt idx="11">
                    <c:v>Apparel</c:v>
                  </c:pt>
                  <c:pt idx="12">
                    <c:v>Electronics</c:v>
                  </c:pt>
                  <c:pt idx="13">
                    <c:v>Furniture</c:v>
                  </c:pt>
                  <c:pt idx="14">
                    <c:v>Groceries</c:v>
                  </c:pt>
                  <c:pt idx="15">
                    <c:v>Sports</c:v>
                  </c:pt>
                  <c:pt idx="16">
                    <c:v>Apparel</c:v>
                  </c:pt>
                  <c:pt idx="17">
                    <c:v>Electronics</c:v>
                  </c:pt>
                  <c:pt idx="18">
                    <c:v>Furniture</c:v>
                  </c:pt>
                  <c:pt idx="19">
                    <c:v>Groceries</c:v>
                  </c:pt>
                  <c:pt idx="20">
                    <c:v>Sports</c:v>
                  </c:pt>
                </c:lvl>
                <c:lvl>
                  <c:pt idx="0">
                    <c:v>Cash on Delivery</c:v>
                  </c:pt>
                  <c:pt idx="1">
                    <c:v>Credit Card</c:v>
                  </c:pt>
                  <c:pt idx="6">
                    <c:v>Debit Card</c:v>
                  </c:pt>
                  <c:pt idx="11">
                    <c:v>Net Banking</c:v>
                  </c:pt>
                  <c:pt idx="16">
                    <c:v>UPI</c:v>
                  </c:pt>
                </c:lvl>
              </c:multiLvlStrCache>
            </c:multiLvlStrRef>
          </c:cat>
          <c:val>
            <c:numRef>
              <c:f>'del.days&amp; cust.rating'!$C$2:$C$26</c:f>
              <c:numCache>
                <c:formatCode>General</c:formatCode>
                <c:ptCount val="21"/>
                <c:pt idx="0">
                  <c:v>571</c:v>
                </c:pt>
                <c:pt idx="1">
                  <c:v>97</c:v>
                </c:pt>
                <c:pt idx="2">
                  <c:v>139</c:v>
                </c:pt>
                <c:pt idx="3">
                  <c:v>147</c:v>
                </c:pt>
                <c:pt idx="4">
                  <c:v>127</c:v>
                </c:pt>
                <c:pt idx="5">
                  <c:v>143</c:v>
                </c:pt>
                <c:pt idx="6">
                  <c:v>134</c:v>
                </c:pt>
                <c:pt idx="7">
                  <c:v>137</c:v>
                </c:pt>
                <c:pt idx="8">
                  <c:v>129</c:v>
                </c:pt>
                <c:pt idx="9">
                  <c:v>94</c:v>
                </c:pt>
                <c:pt idx="10">
                  <c:v>102</c:v>
                </c:pt>
                <c:pt idx="11">
                  <c:v>88</c:v>
                </c:pt>
                <c:pt idx="12">
                  <c:v>122</c:v>
                </c:pt>
                <c:pt idx="13">
                  <c:v>129</c:v>
                </c:pt>
                <c:pt idx="14">
                  <c:v>100</c:v>
                </c:pt>
                <c:pt idx="15">
                  <c:v>139</c:v>
                </c:pt>
                <c:pt idx="16">
                  <c:v>118</c:v>
                </c:pt>
                <c:pt idx="17">
                  <c:v>117</c:v>
                </c:pt>
                <c:pt idx="18">
                  <c:v>147</c:v>
                </c:pt>
                <c:pt idx="19">
                  <c:v>111</c:v>
                </c:pt>
                <c:pt idx="20">
                  <c:v>127</c:v>
                </c:pt>
              </c:numCache>
            </c:numRef>
          </c:val>
          <c:smooth val="0"/>
          <c:extLst>
            <c:ext xmlns:c16="http://schemas.microsoft.com/office/drawing/2014/chart" uri="{C3380CC4-5D6E-409C-BE32-E72D297353CC}">
              <c16:uniqueId val="{00000001-5D07-46FC-BD7F-C281FE31041C}"/>
            </c:ext>
          </c:extLst>
        </c:ser>
        <c:dLbls>
          <c:showLegendKey val="0"/>
          <c:showVal val="0"/>
          <c:showCatName val="0"/>
          <c:showSerName val="0"/>
          <c:showPercent val="0"/>
          <c:showBubbleSize val="0"/>
        </c:dLbls>
        <c:marker val="1"/>
        <c:smooth val="0"/>
        <c:axId val="2068727504"/>
        <c:axId val="2068711184"/>
      </c:lineChart>
      <c:catAx>
        <c:axId val="2068727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711184"/>
        <c:crosses val="autoZero"/>
        <c:auto val="1"/>
        <c:lblAlgn val="ctr"/>
        <c:lblOffset val="100"/>
        <c:noMultiLvlLbl val="0"/>
      </c:catAx>
      <c:valAx>
        <c:axId val="2068711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727504"/>
        <c:crosses val="autoZero"/>
        <c:crossBetween val="between"/>
      </c:valAx>
      <c:spPr>
        <a:noFill/>
        <a:ln>
          <a:noFill/>
        </a:ln>
        <a:effectLst/>
      </c:spPr>
    </c:plotArea>
    <c:legend>
      <c:legendPos val="r"/>
      <c:layout>
        <c:manualLayout>
          <c:xMode val="edge"/>
          <c:yMode val="edge"/>
          <c:x val="0.71663617936421597"/>
          <c:y val="0.26073665778964777"/>
          <c:w val="0.26243469949407561"/>
          <c:h val="0.47880388636395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New.xlsx]top 5 prod!PivotTable3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5 Product By Sales Value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719706911636046E-2"/>
              <c:y val="1.315470982793817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951443569553805E-2"/>
              <c:y val="6.6954651501896448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941382327209101E-2"/>
              <c:y val="8.0566491688538935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682852143482077E-2"/>
              <c:y val="0.13523293963254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4FC098E-9915-416B-B506-E7D7D288A4E8}"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7479658792650916E-2"/>
              <c:y val="-2.547116506270049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533333333333335"/>
                  <c:h val="4.6227034120734901E-2"/>
                </c:manualLayout>
              </c15:layout>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719706911636046E-2"/>
              <c:y val="1.315470982793817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951443569553805E-2"/>
              <c:y val="6.6954651501896448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941382327209101E-2"/>
              <c:y val="8.0566491688538935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682852143482077E-2"/>
              <c:y val="0.13523293963254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4FC098E-9915-416B-B506-E7D7D288A4E8}"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7479658792650916E-2"/>
              <c:y val="-2.547116506270049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533333333333335"/>
                  <c:h val="4.6227034120734901E-2"/>
                </c:manualLayout>
              </c15:layout>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719706911636046E-2"/>
              <c:y val="1.315470982793817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951443569553805E-2"/>
              <c:y val="6.6954651501896448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941382327209101E-2"/>
              <c:y val="8.0566491688538935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682852143482077E-2"/>
              <c:y val="0.13523293963254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4FC098E-9915-416B-B506-E7D7D288A4E8}" type="VALUE">
                  <a:rPr lang="en-US" b="1"/>
                  <a:pPr>
                    <a:defRPr/>
                  </a:pPr>
                  <a:t>[VALUE]</a:t>
                </a:fld>
                <a:endParaRPr lang="en-IN"/>
              </a:p>
            </c:rich>
          </c:tx>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7479658792650916E-2"/>
              <c:y val="-2.547116506270049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533333333333335"/>
                  <c:h val="4.6227034120734901E-2"/>
                </c:manualLayout>
              </c15:layout>
            </c:ext>
          </c:extLst>
        </c:dLbl>
      </c:pivotFmt>
    </c:pivotFmts>
    <c:plotArea>
      <c:layout>
        <c:manualLayout>
          <c:layoutTarget val="inner"/>
          <c:xMode val="edge"/>
          <c:yMode val="edge"/>
          <c:x val="0.16074774306833678"/>
          <c:y val="0.2748363100470394"/>
          <c:w val="0.43128149699419677"/>
          <c:h val="0.64704998830513061"/>
        </c:manualLayout>
      </c:layout>
      <c:pieChart>
        <c:varyColors val="1"/>
        <c:ser>
          <c:idx val="0"/>
          <c:order val="0"/>
          <c:tx>
            <c:strRef>
              <c:f>'top 5 prod'!$B$3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0EB-4344-9F2F-701D9CD3064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0EB-4344-9F2F-701D9CD3064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0EB-4344-9F2F-701D9CD3064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0EB-4344-9F2F-701D9CD3064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0EB-4344-9F2F-701D9CD30640}"/>
              </c:ext>
            </c:extLst>
          </c:dPt>
          <c:dLbls>
            <c:dLbl>
              <c:idx val="0"/>
              <c:layout>
                <c:manualLayout>
                  <c:x val="2.8719706911636046E-2"/>
                  <c:y val="1.31547098279381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EB-4344-9F2F-701D9CD30640}"/>
                </c:ext>
              </c:extLst>
            </c:dLbl>
            <c:dLbl>
              <c:idx val="1"/>
              <c:layout>
                <c:manualLayout>
                  <c:x val="2.9951443569553805E-2"/>
                  <c:y val="6.695465150189644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EB-4344-9F2F-701D9CD30640}"/>
                </c:ext>
              </c:extLst>
            </c:dLbl>
            <c:dLbl>
              <c:idx val="2"/>
              <c:layout>
                <c:manualLayout>
                  <c:x val="9.7941382327209101E-2"/>
                  <c:y val="8.056649168853893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EB-4344-9F2F-701D9CD30640}"/>
                </c:ext>
              </c:extLst>
            </c:dLbl>
            <c:dLbl>
              <c:idx val="3"/>
              <c:layout>
                <c:manualLayout>
                  <c:x val="-1.8682852143482077E-2"/>
                  <c:y val="0.13523293963254593"/>
                </c:manualLayout>
              </c:layout>
              <c:tx>
                <c:rich>
                  <a:bodyPr/>
                  <a:lstStyle/>
                  <a:p>
                    <a:fld id="{24FC098E-9915-416B-B506-E7D7D288A4E8}"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0EB-4344-9F2F-701D9CD30640}"/>
                </c:ext>
              </c:extLst>
            </c:dLbl>
            <c:dLbl>
              <c:idx val="4"/>
              <c:layout>
                <c:manualLayout>
                  <c:x val="-3.7479658792650916E-2"/>
                  <c:y val="-2.547116506270049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533333333333335"/>
                      <c:h val="4.6227034120734901E-2"/>
                    </c:manualLayout>
                  </c15:layout>
                </c:ext>
                <c:ext xmlns:c16="http://schemas.microsoft.com/office/drawing/2014/chart" uri="{C3380CC4-5D6E-409C-BE32-E72D297353CC}">
                  <c16:uniqueId val="{00000009-B0EB-4344-9F2F-701D9CD30640}"/>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5 prod'!$A$4:$A$8</c:f>
              <c:strCache>
                <c:ptCount val="5"/>
                <c:pt idx="0">
                  <c:v>Yoga Mat</c:v>
                </c:pt>
                <c:pt idx="1">
                  <c:v>Tennis Racket</c:v>
                </c:pt>
                <c:pt idx="2">
                  <c:v>Laptop Pro</c:v>
                </c:pt>
                <c:pt idx="3">
                  <c:v>Dining Table</c:v>
                </c:pt>
                <c:pt idx="4">
                  <c:v>Bed Frame</c:v>
                </c:pt>
              </c:strCache>
            </c:strRef>
          </c:cat>
          <c:val>
            <c:numRef>
              <c:f>'top 5 prod'!$B$4:$B$8</c:f>
              <c:numCache>
                <c:formatCode>General</c:formatCode>
                <c:ptCount val="5"/>
                <c:pt idx="0">
                  <c:v>7229024</c:v>
                </c:pt>
                <c:pt idx="1">
                  <c:v>6577931</c:v>
                </c:pt>
                <c:pt idx="2">
                  <c:v>7283329</c:v>
                </c:pt>
                <c:pt idx="3">
                  <c:v>7007761</c:v>
                </c:pt>
                <c:pt idx="4">
                  <c:v>6675186</c:v>
                </c:pt>
              </c:numCache>
            </c:numRef>
          </c:val>
          <c:extLst>
            <c:ext xmlns:c16="http://schemas.microsoft.com/office/drawing/2014/chart" uri="{C3380CC4-5D6E-409C-BE32-E72D297353CC}">
              <c16:uniqueId val="{0000000A-B0EB-4344-9F2F-701D9CD306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[Mandeep kps store  project excel New.xlsx]delivery  days vs rating!PivotTable4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Delivery</a:t>
            </a:r>
            <a:r>
              <a:rPr lang="en-IN" baseline="0"/>
              <a:t> </a:t>
            </a:r>
            <a:r>
              <a:rPr lang="en-IN"/>
              <a:t>Days vs Rating</a:t>
            </a:r>
          </a:p>
        </c:rich>
      </c:tx>
      <c:layout>
        <c:manualLayout>
          <c:xMode val="edge"/>
          <c:yMode val="edge"/>
          <c:x val="0.15644621569520015"/>
          <c:y val="2.4758173371337327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02624242562818E-2"/>
          <c:y val="0.22500336649599068"/>
          <c:w val="0.62711708088081175"/>
          <c:h val="0.67956576283123515"/>
        </c:manualLayout>
      </c:layout>
      <c:barChart>
        <c:barDir val="col"/>
        <c:grouping val="clustered"/>
        <c:varyColors val="0"/>
        <c:ser>
          <c:idx val="0"/>
          <c:order val="0"/>
          <c:tx>
            <c:strRef>
              <c:f>'delivery  days vs rating'!$B$1</c:f>
              <c:strCache>
                <c:ptCount val="1"/>
                <c:pt idx="0">
                  <c:v>Sum of Customer Rating</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'delivery  days vs rating'!$A$2:$A$11</c:f>
              <c:strCache>
                <c:ptCount val="10"/>
                <c:pt idx="0">
                  <c:v>1</c:v>
                </c:pt>
                <c:pt idx="1">
                  <c:v>2</c:v>
                </c:pt>
                <c:pt idx="2">
                  <c:v>3</c:v>
                </c:pt>
                <c:pt idx="3">
                  <c:v>4</c:v>
                </c:pt>
                <c:pt idx="4">
                  <c:v>5</c:v>
                </c:pt>
                <c:pt idx="5">
                  <c:v>6</c:v>
                </c:pt>
                <c:pt idx="6">
                  <c:v>7</c:v>
                </c:pt>
                <c:pt idx="7">
                  <c:v>8</c:v>
                </c:pt>
                <c:pt idx="8">
                  <c:v>9</c:v>
                </c:pt>
                <c:pt idx="9">
                  <c:v>10</c:v>
                </c:pt>
              </c:strCache>
            </c:strRef>
          </c:cat>
          <c:val>
            <c:numRef>
              <c:f>'delivery  days vs rating'!$B$2:$B$11</c:f>
              <c:numCache>
                <c:formatCode>General</c:formatCode>
                <c:ptCount val="10"/>
                <c:pt idx="0">
                  <c:v>280</c:v>
                </c:pt>
                <c:pt idx="1">
                  <c:v>280</c:v>
                </c:pt>
                <c:pt idx="2">
                  <c:v>296</c:v>
                </c:pt>
                <c:pt idx="3">
                  <c:v>269</c:v>
                </c:pt>
                <c:pt idx="4">
                  <c:v>348</c:v>
                </c:pt>
                <c:pt idx="5">
                  <c:v>348</c:v>
                </c:pt>
                <c:pt idx="6">
                  <c:v>330</c:v>
                </c:pt>
                <c:pt idx="7">
                  <c:v>321</c:v>
                </c:pt>
                <c:pt idx="8">
                  <c:v>280</c:v>
                </c:pt>
                <c:pt idx="9">
                  <c:v>266</c:v>
                </c:pt>
              </c:numCache>
            </c:numRef>
          </c:val>
          <c:extLst>
            <c:ext xmlns:c16="http://schemas.microsoft.com/office/drawing/2014/chart" uri="{C3380CC4-5D6E-409C-BE32-E72D297353CC}">
              <c16:uniqueId val="{00000000-DDF0-43D6-8D8A-21D25DFBFC93}"/>
            </c:ext>
          </c:extLst>
        </c:ser>
        <c:ser>
          <c:idx val="1"/>
          <c:order val="1"/>
          <c:tx>
            <c:strRef>
              <c:f>'delivery  days vs rating'!$C$1</c:f>
              <c:strCache>
                <c:ptCount val="1"/>
                <c:pt idx="0">
                  <c:v>Count of Repeat Purchase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'delivery  days vs rating'!$A$2:$A$11</c:f>
              <c:strCache>
                <c:ptCount val="10"/>
                <c:pt idx="0">
                  <c:v>1</c:v>
                </c:pt>
                <c:pt idx="1">
                  <c:v>2</c:v>
                </c:pt>
                <c:pt idx="2">
                  <c:v>3</c:v>
                </c:pt>
                <c:pt idx="3">
                  <c:v>4</c:v>
                </c:pt>
                <c:pt idx="4">
                  <c:v>5</c:v>
                </c:pt>
                <c:pt idx="5">
                  <c:v>6</c:v>
                </c:pt>
                <c:pt idx="6">
                  <c:v>7</c:v>
                </c:pt>
                <c:pt idx="7">
                  <c:v>8</c:v>
                </c:pt>
                <c:pt idx="8">
                  <c:v>9</c:v>
                </c:pt>
                <c:pt idx="9">
                  <c:v>10</c:v>
                </c:pt>
              </c:strCache>
            </c:strRef>
          </c:cat>
          <c:val>
            <c:numRef>
              <c:f>'delivery  days vs rating'!$C$2:$C$11</c:f>
              <c:numCache>
                <c:formatCode>General</c:formatCode>
                <c:ptCount val="10"/>
                <c:pt idx="0">
                  <c:v>94</c:v>
                </c:pt>
                <c:pt idx="1">
                  <c:v>90</c:v>
                </c:pt>
                <c:pt idx="2">
                  <c:v>94</c:v>
                </c:pt>
                <c:pt idx="3">
                  <c:v>95</c:v>
                </c:pt>
                <c:pt idx="4">
                  <c:v>119</c:v>
                </c:pt>
                <c:pt idx="5">
                  <c:v>111</c:v>
                </c:pt>
                <c:pt idx="6">
                  <c:v>116</c:v>
                </c:pt>
                <c:pt idx="7">
                  <c:v>97</c:v>
                </c:pt>
                <c:pt idx="8">
                  <c:v>92</c:v>
                </c:pt>
                <c:pt idx="9">
                  <c:v>92</c:v>
                </c:pt>
              </c:numCache>
            </c:numRef>
          </c:val>
          <c:extLst>
            <c:ext xmlns:c16="http://schemas.microsoft.com/office/drawing/2014/chart" uri="{C3380CC4-5D6E-409C-BE32-E72D297353CC}">
              <c16:uniqueId val="{00000001-DDF0-43D6-8D8A-21D25DFBFC93}"/>
            </c:ext>
          </c:extLst>
        </c:ser>
        <c:dLbls>
          <c:showLegendKey val="0"/>
          <c:showVal val="0"/>
          <c:showCatName val="0"/>
          <c:showSerName val="0"/>
          <c:showPercent val="0"/>
          <c:showBubbleSize val="0"/>
        </c:dLbls>
        <c:gapWidth val="219"/>
        <c:overlap val="-27"/>
        <c:axId val="779392527"/>
        <c:axId val="779393007"/>
      </c:barChart>
      <c:catAx>
        <c:axId val="779392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393007"/>
        <c:crosses val="autoZero"/>
        <c:auto val="1"/>
        <c:lblAlgn val="ctr"/>
        <c:lblOffset val="100"/>
        <c:noMultiLvlLbl val="0"/>
      </c:catAx>
      <c:valAx>
        <c:axId val="779393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392527"/>
        <c:crosses val="autoZero"/>
        <c:crossBetween val="between"/>
      </c:valAx>
      <c:spPr>
        <a:noFill/>
        <a:ln>
          <a:noFill/>
        </a:ln>
        <a:effectLst/>
      </c:spPr>
    </c:plotArea>
    <c:legend>
      <c:legendPos val="r"/>
      <c:layout>
        <c:manualLayout>
          <c:xMode val="edge"/>
          <c:yMode val="edge"/>
          <c:x val="0.79995739835371837"/>
          <c:y val="0.17254928261716751"/>
          <c:w val="0.18277533863210191"/>
          <c:h val="0.425933407252959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8</xdr:col>
      <xdr:colOff>673100</xdr:colOff>
      <xdr:row>0</xdr:row>
      <xdr:rowOff>0</xdr:rowOff>
    </xdr:from>
    <xdr:to>
      <xdr:col>9</xdr:col>
      <xdr:colOff>374650</xdr:colOff>
      <xdr:row>2</xdr:row>
      <xdr:rowOff>38100</xdr:rowOff>
    </xdr:to>
    <xdr:pic>
      <xdr:nvPicPr>
        <xdr:cNvPr id="3" name="Graphic 2" descr="Shopping cart with solid fill">
          <a:extLst>
            <a:ext uri="{FF2B5EF4-FFF2-40B4-BE49-F238E27FC236}">
              <a16:creationId xmlns:a16="http://schemas.microsoft.com/office/drawing/2014/main" id="{7E611C7B-A628-57A1-5DEC-EF34F88A1B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258050" y="0"/>
          <a:ext cx="450850" cy="406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246490</xdr:colOff>
      <xdr:row>1</xdr:row>
      <xdr:rowOff>67671</xdr:rowOff>
    </xdr:from>
    <xdr:to>
      <xdr:col>16</xdr:col>
      <xdr:colOff>32235</xdr:colOff>
      <xdr:row>18</xdr:row>
      <xdr:rowOff>16918</xdr:rowOff>
    </xdr:to>
    <xdr:graphicFrame macro="">
      <xdr:nvGraphicFramePr>
        <xdr:cNvPr id="3" name="Chart 2">
          <a:extLst>
            <a:ext uri="{FF2B5EF4-FFF2-40B4-BE49-F238E27FC236}">
              <a16:creationId xmlns:a16="http://schemas.microsoft.com/office/drawing/2014/main" id="{2D51AE7D-6D7E-5573-D4CE-C303C54D2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540689</xdr:colOff>
      <xdr:row>7</xdr:row>
      <xdr:rowOff>71562</xdr:rowOff>
    </xdr:from>
    <xdr:to>
      <xdr:col>13</xdr:col>
      <xdr:colOff>55658</xdr:colOff>
      <xdr:row>23</xdr:row>
      <xdr:rowOff>87463</xdr:rowOff>
    </xdr:to>
    <xdr:graphicFrame macro="">
      <xdr:nvGraphicFramePr>
        <xdr:cNvPr id="2" name="Chart 1">
          <a:extLst>
            <a:ext uri="{FF2B5EF4-FFF2-40B4-BE49-F238E27FC236}">
              <a16:creationId xmlns:a16="http://schemas.microsoft.com/office/drawing/2014/main" id="{058FD1FA-52B9-D92D-B430-BB16B79D0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23854</xdr:colOff>
      <xdr:row>1</xdr:row>
      <xdr:rowOff>7951</xdr:rowOff>
    </xdr:from>
    <xdr:to>
      <xdr:col>12</xdr:col>
      <xdr:colOff>15903</xdr:colOff>
      <xdr:row>13</xdr:row>
      <xdr:rowOff>7950</xdr:rowOff>
    </xdr:to>
    <xdr:graphicFrame macro="">
      <xdr:nvGraphicFramePr>
        <xdr:cNvPr id="2" name="Chart 1">
          <a:extLst>
            <a:ext uri="{FF2B5EF4-FFF2-40B4-BE49-F238E27FC236}">
              <a16:creationId xmlns:a16="http://schemas.microsoft.com/office/drawing/2014/main" id="{0B2413B8-8DB0-10FA-6B34-510D52075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30878</xdr:colOff>
      <xdr:row>1</xdr:row>
      <xdr:rowOff>7719</xdr:rowOff>
    </xdr:from>
    <xdr:to>
      <xdr:col>13</xdr:col>
      <xdr:colOff>7228</xdr:colOff>
      <xdr:row>17</xdr:row>
      <xdr:rowOff>177553</xdr:rowOff>
    </xdr:to>
    <xdr:graphicFrame macro="">
      <xdr:nvGraphicFramePr>
        <xdr:cNvPr id="2" name="Chart 1">
          <a:extLst>
            <a:ext uri="{FF2B5EF4-FFF2-40B4-BE49-F238E27FC236}">
              <a16:creationId xmlns:a16="http://schemas.microsoft.com/office/drawing/2014/main" id="{41BC2198-31A3-B377-CDFD-21D8777F1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755374</xdr:colOff>
      <xdr:row>107</xdr:row>
      <xdr:rowOff>151074</xdr:rowOff>
    </xdr:from>
    <xdr:to>
      <xdr:col>16</xdr:col>
      <xdr:colOff>445272</xdr:colOff>
      <xdr:row>127</xdr:row>
      <xdr:rowOff>79511</xdr:rowOff>
    </xdr:to>
    <xdr:graphicFrame macro="">
      <xdr:nvGraphicFramePr>
        <xdr:cNvPr id="2" name="Chart 1">
          <a:extLst>
            <a:ext uri="{FF2B5EF4-FFF2-40B4-BE49-F238E27FC236}">
              <a16:creationId xmlns:a16="http://schemas.microsoft.com/office/drawing/2014/main" id="{AB482BAC-963E-57BB-ADD5-CB878FB29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7951</xdr:colOff>
      <xdr:row>1</xdr:row>
      <xdr:rowOff>182880</xdr:rowOff>
    </xdr:from>
    <xdr:to>
      <xdr:col>14</xdr:col>
      <xdr:colOff>540688</xdr:colOff>
      <xdr:row>15</xdr:row>
      <xdr:rowOff>31804</xdr:rowOff>
    </xdr:to>
    <xdr:graphicFrame macro="">
      <xdr:nvGraphicFramePr>
        <xdr:cNvPr id="3" name="Chart 2">
          <a:extLst>
            <a:ext uri="{FF2B5EF4-FFF2-40B4-BE49-F238E27FC236}">
              <a16:creationId xmlns:a16="http://schemas.microsoft.com/office/drawing/2014/main" id="{B3AC5301-4FF1-A956-CB02-7563CA0D0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612250</xdr:colOff>
      <xdr:row>1</xdr:row>
      <xdr:rowOff>182881</xdr:rowOff>
    </xdr:from>
    <xdr:to>
      <xdr:col>13</xdr:col>
      <xdr:colOff>15903</xdr:colOff>
      <xdr:row>15</xdr:row>
      <xdr:rowOff>103368</xdr:rowOff>
    </xdr:to>
    <xdr:graphicFrame macro="">
      <xdr:nvGraphicFramePr>
        <xdr:cNvPr id="2" name="Chart 1">
          <a:extLst>
            <a:ext uri="{FF2B5EF4-FFF2-40B4-BE49-F238E27FC236}">
              <a16:creationId xmlns:a16="http://schemas.microsoft.com/office/drawing/2014/main" id="{80E58A96-03C9-969B-9C37-AD96EEB4E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11926</xdr:colOff>
      <xdr:row>1</xdr:row>
      <xdr:rowOff>1</xdr:rowOff>
    </xdr:from>
    <xdr:to>
      <xdr:col>10</xdr:col>
      <xdr:colOff>131195</xdr:colOff>
      <xdr:row>15</xdr:row>
      <xdr:rowOff>71562</xdr:rowOff>
    </xdr:to>
    <xdr:graphicFrame macro="">
      <xdr:nvGraphicFramePr>
        <xdr:cNvPr id="2" name="Chart 1">
          <a:extLst>
            <a:ext uri="{FF2B5EF4-FFF2-40B4-BE49-F238E27FC236}">
              <a16:creationId xmlns:a16="http://schemas.microsoft.com/office/drawing/2014/main" id="{5A00D526-1AB7-F1E6-C933-F2248CB01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622011</xdr:colOff>
      <xdr:row>1</xdr:row>
      <xdr:rowOff>23619</xdr:rowOff>
    </xdr:from>
    <xdr:to>
      <xdr:col>10</xdr:col>
      <xdr:colOff>580681</xdr:colOff>
      <xdr:row>14</xdr:row>
      <xdr:rowOff>87229</xdr:rowOff>
    </xdr:to>
    <xdr:graphicFrame macro="">
      <xdr:nvGraphicFramePr>
        <xdr:cNvPr id="2" name="Chart 1">
          <a:extLst>
            <a:ext uri="{FF2B5EF4-FFF2-40B4-BE49-F238E27FC236}">
              <a16:creationId xmlns:a16="http://schemas.microsoft.com/office/drawing/2014/main" id="{17473A0F-1611-7021-C093-6A538B06D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588394</xdr:colOff>
      <xdr:row>1</xdr:row>
      <xdr:rowOff>7951</xdr:rowOff>
    </xdr:from>
    <xdr:to>
      <xdr:col>12</xdr:col>
      <xdr:colOff>381662</xdr:colOff>
      <xdr:row>17</xdr:row>
      <xdr:rowOff>166977</xdr:rowOff>
    </xdr:to>
    <xdr:graphicFrame macro="">
      <xdr:nvGraphicFramePr>
        <xdr:cNvPr id="2" name="Chart 1">
          <a:extLst>
            <a:ext uri="{FF2B5EF4-FFF2-40B4-BE49-F238E27FC236}">
              <a16:creationId xmlns:a16="http://schemas.microsoft.com/office/drawing/2014/main" id="{5AC0B12E-4D66-7348-00B1-3908CE0DA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187576</xdr:colOff>
      <xdr:row>1</xdr:row>
      <xdr:rowOff>54427</xdr:rowOff>
    </xdr:from>
    <xdr:to>
      <xdr:col>8</xdr:col>
      <xdr:colOff>555171</xdr:colOff>
      <xdr:row>19</xdr:row>
      <xdr:rowOff>108856</xdr:rowOff>
    </xdr:to>
    <xdr:graphicFrame macro="">
      <xdr:nvGraphicFramePr>
        <xdr:cNvPr id="10" name="Chart 9">
          <a:extLst>
            <a:ext uri="{FF2B5EF4-FFF2-40B4-BE49-F238E27FC236}">
              <a16:creationId xmlns:a16="http://schemas.microsoft.com/office/drawing/2014/main" id="{D0D124AB-00F8-41EA-BEA8-73771FD35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174171</xdr:colOff>
      <xdr:row>19</xdr:row>
      <xdr:rowOff>163286</xdr:rowOff>
    </xdr:from>
    <xdr:to>
      <xdr:col>16</xdr:col>
      <xdr:colOff>413657</xdr:colOff>
      <xdr:row>38</xdr:row>
      <xdr:rowOff>10886</xdr:rowOff>
    </xdr:to>
    <xdr:graphicFrame macro="">
      <xdr:nvGraphicFramePr>
        <xdr:cNvPr id="12" name="Chart 11">
          <a:extLst>
            <a:ext uri="{FF2B5EF4-FFF2-40B4-BE49-F238E27FC236}">
              <a16:creationId xmlns:a16="http://schemas.microsoft.com/office/drawing/2014/main" id="{1373D2F2-3184-4890-AD23-6FDF385FA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511628</xdr:colOff>
      <xdr:row>1</xdr:row>
      <xdr:rowOff>54428</xdr:rowOff>
    </xdr:from>
    <xdr:to>
      <xdr:col>23</xdr:col>
      <xdr:colOff>87085</xdr:colOff>
      <xdr:row>19</xdr:row>
      <xdr:rowOff>87086</xdr:rowOff>
    </xdr:to>
    <xdr:graphicFrame macro="">
      <xdr:nvGraphicFramePr>
        <xdr:cNvPr id="13" name="Chart 12">
          <a:extLst>
            <a:ext uri="{FF2B5EF4-FFF2-40B4-BE49-F238E27FC236}">
              <a16:creationId xmlns:a16="http://schemas.microsoft.com/office/drawing/2014/main" id="{4E7EC1EC-FF20-4577-9AEC-2C0811AB9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xdr:colOff>
      <xdr:row>1</xdr:row>
      <xdr:rowOff>43543</xdr:rowOff>
    </xdr:from>
    <xdr:to>
      <xdr:col>16</xdr:col>
      <xdr:colOff>457201</xdr:colOff>
      <xdr:row>19</xdr:row>
      <xdr:rowOff>97972</xdr:rowOff>
    </xdr:to>
    <xdr:graphicFrame macro="">
      <xdr:nvGraphicFramePr>
        <xdr:cNvPr id="15" name="Chart 14">
          <a:extLst>
            <a:ext uri="{FF2B5EF4-FFF2-40B4-BE49-F238E27FC236}">
              <a16:creationId xmlns:a16="http://schemas.microsoft.com/office/drawing/2014/main" id="{88D2C043-F257-4A89-A4D5-CD5519024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141513</xdr:colOff>
      <xdr:row>1</xdr:row>
      <xdr:rowOff>65312</xdr:rowOff>
    </xdr:from>
    <xdr:to>
      <xdr:col>33</xdr:col>
      <xdr:colOff>87086</xdr:colOff>
      <xdr:row>19</xdr:row>
      <xdr:rowOff>76199</xdr:rowOff>
    </xdr:to>
    <xdr:graphicFrame macro="">
      <xdr:nvGraphicFramePr>
        <xdr:cNvPr id="16" name="Chart 15">
          <a:extLst>
            <a:ext uri="{FF2B5EF4-FFF2-40B4-BE49-F238E27FC236}">
              <a16:creationId xmlns:a16="http://schemas.microsoft.com/office/drawing/2014/main" id="{3AD656F3-2A0D-4DA5-BCF6-85397617F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468086</xdr:colOff>
      <xdr:row>19</xdr:row>
      <xdr:rowOff>141515</xdr:rowOff>
    </xdr:from>
    <xdr:to>
      <xdr:col>23</xdr:col>
      <xdr:colOff>598716</xdr:colOff>
      <xdr:row>38</xdr:row>
      <xdr:rowOff>21771</xdr:rowOff>
    </xdr:to>
    <xdr:graphicFrame macro="">
      <xdr:nvGraphicFramePr>
        <xdr:cNvPr id="2" name="Chart 1">
          <a:extLst>
            <a:ext uri="{FF2B5EF4-FFF2-40B4-BE49-F238E27FC236}">
              <a16:creationId xmlns:a16="http://schemas.microsoft.com/office/drawing/2014/main" id="{A0835EDF-5F11-40E7-B024-AFBC4D33E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43543</xdr:colOff>
      <xdr:row>19</xdr:row>
      <xdr:rowOff>141515</xdr:rowOff>
    </xdr:from>
    <xdr:to>
      <xdr:col>33</xdr:col>
      <xdr:colOff>141514</xdr:colOff>
      <xdr:row>37</xdr:row>
      <xdr:rowOff>174172</xdr:rowOff>
    </xdr:to>
    <xdr:graphicFrame macro="">
      <xdr:nvGraphicFramePr>
        <xdr:cNvPr id="3" name="Chart 2">
          <a:extLst>
            <a:ext uri="{FF2B5EF4-FFF2-40B4-BE49-F238E27FC236}">
              <a16:creationId xmlns:a16="http://schemas.microsoft.com/office/drawing/2014/main" id="{B4DFED70-DBBD-47AB-B0FD-CA19465B5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43543</xdr:colOff>
      <xdr:row>0</xdr:row>
      <xdr:rowOff>304800</xdr:rowOff>
    </xdr:from>
    <xdr:to>
      <xdr:col>3</xdr:col>
      <xdr:colOff>87086</xdr:colOff>
      <xdr:row>8</xdr:row>
      <xdr:rowOff>43543</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7CA6A765-8EF3-3D9F-91DC-BB521A5F04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543" y="304800"/>
              <a:ext cx="1872343" cy="1349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97971</xdr:colOff>
      <xdr:row>8</xdr:row>
      <xdr:rowOff>97971</xdr:rowOff>
    </xdr:from>
    <xdr:to>
      <xdr:col>3</xdr:col>
      <xdr:colOff>97970</xdr:colOff>
      <xdr:row>17</xdr:row>
      <xdr:rowOff>97972</xdr:rowOff>
    </xdr:to>
    <mc:AlternateContent xmlns:mc="http://schemas.openxmlformats.org/markup-compatibility/2006">
      <mc:Choice xmlns:a14="http://schemas.microsoft.com/office/drawing/2010/main" Requires="a14">
        <xdr:graphicFrame macro="">
          <xdr:nvGraphicFramePr>
            <xdr:cNvPr id="6" name="Product Category">
              <a:extLst>
                <a:ext uri="{FF2B5EF4-FFF2-40B4-BE49-F238E27FC236}">
                  <a16:creationId xmlns:a16="http://schemas.microsoft.com/office/drawing/2014/main" id="{5EFCD461-637B-2F33-09A4-AD5CD95AB73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7971" y="1709057"/>
              <a:ext cx="1828799" cy="1665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54429</xdr:colOff>
      <xdr:row>17</xdr:row>
      <xdr:rowOff>141516</xdr:rowOff>
    </xdr:from>
    <xdr:to>
      <xdr:col>3</xdr:col>
      <xdr:colOff>97971</xdr:colOff>
      <xdr:row>22</xdr:row>
      <xdr:rowOff>97972</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177299A2-3F7B-67A4-D53F-763BBF1480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4429" y="3418116"/>
              <a:ext cx="1872342" cy="881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65314</xdr:colOff>
      <xdr:row>22</xdr:row>
      <xdr:rowOff>152401</xdr:rowOff>
    </xdr:from>
    <xdr:to>
      <xdr:col>3</xdr:col>
      <xdr:colOff>87085</xdr:colOff>
      <xdr:row>38</xdr:row>
      <xdr:rowOff>21771</xdr:rowOff>
    </xdr:to>
    <mc:AlternateContent xmlns:mc="http://schemas.openxmlformats.org/markup-compatibility/2006">
      <mc:Choice xmlns:a14="http://schemas.microsoft.com/office/drawing/2010/main" Requires="a14">
        <xdr:graphicFrame macro="">
          <xdr:nvGraphicFramePr>
            <xdr:cNvPr id="8" name="Order ID">
              <a:extLst>
                <a:ext uri="{FF2B5EF4-FFF2-40B4-BE49-F238E27FC236}">
                  <a16:creationId xmlns:a16="http://schemas.microsoft.com/office/drawing/2014/main" id="{9CEE30C0-9FA4-972C-50FE-478FE5DD424B}"/>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dr:sp macro="" textlink="">
          <xdr:nvSpPr>
            <xdr:cNvPr id="0" name=""/>
            <xdr:cNvSpPr>
              <a:spLocks noTextEdit="1"/>
            </xdr:cNvSpPr>
          </xdr:nvSpPr>
          <xdr:spPr>
            <a:xfrm>
              <a:off x="65314" y="4354287"/>
              <a:ext cx="1850571" cy="2830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vesh  Choudhary" refreshedDate="45888.887278125003" createdVersion="8" refreshedVersion="8" minRefreshableVersion="3" recordCount="1000" xr:uid="{7BD8E331-5315-485D-8477-F6A4395EBB71}">
  <cacheSource type="worksheet">
    <worksheetSource ref="A3:S1003" sheet="kps store data"/>
  </cacheSource>
  <cacheFields count="19">
    <cacheField name="Index" numFmtId="0">
      <sharedItems containsSemiMixedTypes="0" containsString="0" containsNumber="1" containsInteger="1" minValue="1" maxValue="1000"/>
    </cacheField>
    <cacheField name="Order ID" numFmtId="0">
      <sharedItems count="1000">
        <s v="O1057"/>
        <s v="O1040"/>
        <s v="O1092"/>
        <s v="O1096"/>
        <s v="O1184"/>
        <s v="O1325"/>
        <s v="O1413"/>
        <s v="O1532"/>
        <s v="O1791"/>
        <s v="O1867"/>
        <s v="O1938"/>
        <s v="O1942"/>
        <s v="O1353"/>
        <s v="O1671"/>
        <s v="O1758"/>
        <s v="O1069"/>
        <s v="O1151"/>
        <s v="O1214"/>
        <s v="O1528"/>
        <s v="O1783"/>
        <s v="O1840"/>
        <s v="O1979"/>
        <s v="O1206"/>
        <s v="O1384"/>
        <s v="O1449"/>
        <s v="O1582"/>
        <s v="O1637"/>
        <s v="O1382"/>
        <s v="O1550"/>
        <s v="O1644"/>
        <s v="O1715"/>
        <s v="O1951"/>
        <s v="O1998"/>
        <s v="O1029"/>
        <s v="O1060"/>
        <s v="O1112"/>
        <s v="O1190"/>
        <s v="O1349"/>
        <s v="O1549"/>
        <s v="O1953"/>
        <s v="O1071"/>
        <s v="O1193"/>
        <s v="O1724"/>
        <s v="O1770"/>
        <s v="O1961"/>
        <s v="O1999"/>
        <s v="O1504"/>
        <s v="O1621"/>
        <s v="O1763"/>
        <s v="O1810"/>
        <s v="O1102"/>
        <s v="O1119"/>
        <s v="O1312"/>
        <s v="O1375"/>
        <s v="O1430"/>
        <s v="O1740"/>
        <s v="O1768"/>
        <s v="O1277"/>
        <s v="O1536"/>
        <s v="O1674"/>
        <s v="O1707"/>
        <s v="O1736"/>
        <s v="O1980"/>
        <s v="O1095"/>
        <s v="O1248"/>
        <s v="O1319"/>
        <s v="O1458"/>
        <s v="O1546"/>
        <s v="O1944"/>
        <s v="O1020"/>
        <s v="O1487"/>
        <s v="O1699"/>
        <s v="O1025"/>
        <s v="O1166"/>
        <s v="O1246"/>
        <s v="O1535"/>
        <s v="O1551"/>
        <s v="O1609"/>
        <s v="O1622"/>
        <s v="O1669"/>
        <s v="O1689"/>
        <s v="O1293"/>
        <s v="O1832"/>
        <s v="O1105"/>
        <s v="O1118"/>
        <s v="O1493"/>
        <s v="O1620"/>
        <s v="O1673"/>
        <s v="O1066"/>
        <s v="O1364"/>
        <s v="O1138"/>
        <s v="O1416"/>
        <s v="O1450"/>
        <s v="O1712"/>
        <s v="O1171"/>
        <s v="O1492"/>
        <s v="O1874"/>
        <s v="O1121"/>
        <s v="O1130"/>
        <s v="O1471"/>
        <s v="O1055"/>
        <s v="O1089"/>
        <s v="O1207"/>
        <s v="O1378"/>
        <s v="O1526"/>
        <s v="O1562"/>
        <s v="O1596"/>
        <s v="O1685"/>
        <s v="O1695"/>
        <s v="O1708"/>
        <s v="O1760"/>
        <s v="O1884"/>
        <s v="O1216"/>
        <s v="O1329"/>
        <s v="O1425"/>
        <s v="O1662"/>
        <s v="O1796"/>
        <s v="O1018"/>
        <s v="O1298"/>
        <s v="O1323"/>
        <s v="O1397"/>
        <s v="O1418"/>
        <s v="O1540"/>
        <s v="O1661"/>
        <s v="O1754"/>
        <s v="O1016"/>
        <s v="O1229"/>
        <s v="O1286"/>
        <s v="O1507"/>
        <s v="O1633"/>
        <s v="O1969"/>
        <s v="O1996"/>
        <s v="O1148"/>
        <s v="O1690"/>
        <s v="O1702"/>
        <s v="O1812"/>
        <s v="O1962"/>
        <s v="O1181"/>
        <s v="O1356"/>
        <s v="O1868"/>
        <s v="O1987"/>
        <s v="O1137"/>
        <s v="O1173"/>
        <s v="O1180"/>
        <s v="O1189"/>
        <s v="O1322"/>
        <s v="O1390"/>
        <s v="O1404"/>
        <s v="O1595"/>
        <s v="O1660"/>
        <s v="O1780"/>
        <s v="O1012"/>
        <s v="O1026"/>
        <s v="O1114"/>
        <s v="O1279"/>
        <s v="O1457"/>
        <s v="O1518"/>
        <s v="O1247"/>
        <s v="O1553"/>
        <s v="O1818"/>
        <s v="O1065"/>
        <s v="O1557"/>
        <s v="O1572"/>
        <s v="O1670"/>
        <s v="O1693"/>
        <s v="O1717"/>
        <s v="O1885"/>
        <s v="O1956"/>
        <s v="O1272"/>
        <s v="O1500"/>
        <s v="O1759"/>
        <s v="O1044"/>
        <s v="O1591"/>
        <s v="O1659"/>
        <s v="O1084"/>
        <s v="O1296"/>
        <s v="O1350"/>
        <s v="O1399"/>
        <s v="O1405"/>
        <s v="O1434"/>
        <s v="O1465"/>
        <s v="O1806"/>
        <s v="O1391"/>
        <s v="O1428"/>
        <s v="O1612"/>
        <s v="O1722"/>
        <s v="O1113"/>
        <s v="O1147"/>
        <s v="O1267"/>
        <s v="O1600"/>
        <s v="O1714"/>
        <s v="O1772"/>
        <s v="O1959"/>
        <s v="O1254"/>
        <s v="O1482"/>
        <s v="O1792"/>
        <s v="O1238"/>
        <s v="O1401"/>
        <s v="O1501"/>
        <s v="O1101"/>
        <s v="O1143"/>
        <s v="O1445"/>
        <s v="O1843"/>
        <s v="O1694"/>
        <s v="O1889"/>
        <s v="O1093"/>
        <s v="O1135"/>
        <s v="O1156"/>
        <s v="O1348"/>
        <s v="O1131"/>
        <s v="O1199"/>
        <s v="O1537"/>
        <s v="O1072"/>
        <s v="O1100"/>
        <s v="O1144"/>
        <s v="O1257"/>
        <s v="O1491"/>
        <s v="O1681"/>
        <s v="O1036"/>
        <s v="O1327"/>
        <s v="O1423"/>
        <s v="O1502"/>
        <s v="O1630"/>
        <s v="O1918"/>
        <s v="O1496"/>
        <s v="O1966"/>
        <s v="O1054"/>
        <s v="O1947"/>
        <s v="O1968"/>
        <s v="O1017"/>
        <s v="O1082"/>
        <s v="O1412"/>
        <s v="O1427"/>
        <s v="O1711"/>
        <s v="O1746"/>
        <s v="O1850"/>
        <s v="O1052"/>
        <s v="O1307"/>
        <s v="O1358"/>
        <s v="O1408"/>
        <s v="O1576"/>
        <s v="O1647"/>
        <s v="O1761"/>
        <s v="O1862"/>
        <s v="O1939"/>
        <s v="O1139"/>
        <s v="O1527"/>
        <s v="O1615"/>
        <s v="O1750"/>
        <s v="O1233"/>
        <s v="O1337"/>
        <s v="O1461"/>
        <s v="O1602"/>
        <s v="O1212"/>
        <s v="O1388"/>
        <s v="O1529"/>
        <s v="O1512"/>
        <s v="O1775"/>
        <s v="O1913"/>
        <s v="O1983"/>
        <s v="O1125"/>
        <s v="O1167"/>
        <s v="O1205"/>
        <s v="O1373"/>
        <s v="O1565"/>
        <s v="O1741"/>
        <s v="O1879"/>
        <s v="O1916"/>
        <s v="O1002"/>
        <s v="O1573"/>
        <s v="O1377"/>
        <s v="O1611"/>
        <s v="O1664"/>
        <s v="O1857"/>
        <s v="O1014"/>
        <s v="O1221"/>
        <s v="O1484"/>
        <s v="O1498"/>
        <s v="O1738"/>
        <s v="O1781"/>
        <s v="O1825"/>
        <s v="O1988"/>
        <s v="O1007"/>
        <s v="O1347"/>
        <s v="O1819"/>
        <s v="O1831"/>
        <s v="O1934"/>
        <s v="O1237"/>
        <s v="O1374"/>
        <s v="O1554"/>
        <s v="O1074"/>
        <s v="O1080"/>
        <s v="O1123"/>
        <s v="O1241"/>
        <s v="O1360"/>
        <s v="O1638"/>
        <s v="O1639"/>
        <s v="O1701"/>
        <s v="O1896"/>
        <s v="O1117"/>
        <s v="O1755"/>
        <s v="O1978"/>
        <s v="O1023"/>
        <s v="O1379"/>
        <s v="O1560"/>
        <s v="O1764"/>
        <s v="O1787"/>
        <s v="O1837"/>
        <s v="O1235"/>
        <s v="O1525"/>
        <s v="O1530"/>
        <s v="O1594"/>
        <s v="O1700"/>
        <s v="O1809"/>
        <s v="O1893"/>
        <s v="O1997"/>
        <s v="O1031"/>
        <s v="O1077"/>
        <s v="O1170"/>
        <s v="O1383"/>
        <s v="O1407"/>
        <s v="O1709"/>
        <s v="O1030"/>
        <s v="O1333"/>
        <s v="O1435"/>
        <s v="O1486"/>
        <s v="O1793"/>
        <s v="O1846"/>
        <s v="O1890"/>
        <s v="O1008"/>
        <s v="O1013"/>
        <s v="O1024"/>
        <s v="O1078"/>
        <s v="O1788"/>
        <s v="O1826"/>
        <s v="O1941"/>
        <s v="O1911"/>
        <s v="O1226"/>
        <s v="O1234"/>
        <s v="O1586"/>
        <s v="O1643"/>
        <s v="O1932"/>
        <s v="O1053"/>
        <s v="O1122"/>
        <s v="O1252"/>
        <s v="O1310"/>
        <s v="O1415"/>
        <s v="O1624"/>
        <s v="O1804"/>
        <s v="O1910"/>
        <s v="O1049"/>
        <s v="O1081"/>
        <s v="O1215"/>
        <s v="O1311"/>
        <s v="O1593"/>
        <s v="O1735"/>
        <s v="O1824"/>
        <s v="O1426"/>
        <s v="O1555"/>
        <s v="O1729"/>
        <s v="O1803"/>
        <s v="O1949"/>
        <s v="O1019"/>
        <s v="O1813"/>
        <s v="O1222"/>
        <s v="O1355"/>
        <s v="O1605"/>
        <s v="O1688"/>
        <s v="O1802"/>
        <s v="O1853"/>
        <s v="O1290"/>
        <s v="O1472"/>
        <s v="O1848"/>
        <s v="O1926"/>
        <s v="O1160"/>
        <s v="O1164"/>
        <s v="O1262"/>
        <s v="O1511"/>
        <s v="O1541"/>
        <s v="O1585"/>
        <s v="O1666"/>
        <s v="O1844"/>
        <s v="O1411"/>
        <s v="O1522"/>
        <s v="O1790"/>
        <s v="O1914"/>
        <s v="O1168"/>
        <s v="O1376"/>
        <s v="O1508"/>
        <s v="O1823"/>
        <s v="O1892"/>
        <s v="O1255"/>
        <s v="O1270"/>
        <s v="O1601"/>
        <s v="O1872"/>
        <s v="O1963"/>
        <s v="O1731"/>
        <s v="O1820"/>
        <s v="O1070"/>
        <s v="O1134"/>
        <s v="O1477"/>
        <s v="O1580"/>
        <s v="O1682"/>
        <s v="O1917"/>
        <s v="O1984"/>
        <s v="O1103"/>
        <s v="O1202"/>
        <s v="O1744"/>
        <s v="O1940"/>
        <s v="O1943"/>
        <s v="O1140"/>
        <s v="O1228"/>
        <s v="O1452"/>
        <s v="O1568"/>
        <s v="O1629"/>
        <s v="O1906"/>
        <s v="O1245"/>
        <s v="O1309"/>
        <s v="O1538"/>
        <s v="O1603"/>
        <s v="O1880"/>
        <s v="O1965"/>
        <s v="O1994"/>
        <s v="O1099"/>
        <s v="O1150"/>
        <s v="O1398"/>
        <s v="O1523"/>
        <s v="O1834"/>
        <s v="O1883"/>
        <s v="O1574"/>
        <s v="O1900"/>
        <s v="O1264"/>
        <s v="O1489"/>
        <s v="O1640"/>
        <s v="O1899"/>
        <s v="O1046"/>
        <s v="O1067"/>
        <s v="O1873"/>
        <s v="O1981"/>
        <s v="O1191"/>
        <s v="O1195"/>
        <s v="O1481"/>
        <s v="O1718"/>
        <s v="O1371"/>
        <s v="O1429"/>
        <s v="O1716"/>
        <s v="O1747"/>
        <s v="O1778"/>
        <s v="O1858"/>
        <s v="O1275"/>
        <s v="O1656"/>
        <s v="O1692"/>
        <s v="O1931"/>
        <s v="O1107"/>
        <s v="O1372"/>
        <s v="O1838"/>
        <s v="O1985"/>
        <s v="O1194"/>
        <s v="O1341"/>
        <s v="O1687"/>
        <s v="O1990"/>
        <s v="O1927"/>
        <s v="O1361"/>
        <s v="O1583"/>
        <s v="O1908"/>
        <s v="O1244"/>
        <s v="O1354"/>
        <s v="O1645"/>
        <s v="O1863"/>
        <s v="O1877"/>
        <s v="O1087"/>
        <s v="O1335"/>
        <s v="O1340"/>
        <s v="O1346"/>
        <s v="O1728"/>
        <s v="O1748"/>
        <s v="O1977"/>
        <s v="O1269"/>
        <s v="O1446"/>
        <s v="O1598"/>
        <s v="O1672"/>
        <s v="O1721"/>
        <s v="O1928"/>
        <s v="O1315"/>
        <s v="O1575"/>
        <s v="O1623"/>
        <s v="O1663"/>
        <s v="O1396"/>
        <s v="O1417"/>
        <s v="O1124"/>
        <s v="O1313"/>
        <s v="O1691"/>
        <s v="O1726"/>
        <s v="O1970"/>
        <s v="O1986"/>
        <s v="O1086"/>
        <s v="O1563"/>
        <s v="O1658"/>
        <s v="O1769"/>
        <s v="O1975"/>
        <s v="O1033"/>
        <s v="O1797"/>
        <s v="O1039"/>
        <s v="O1198"/>
        <s v="O1223"/>
        <s v="O1366"/>
        <s v="O1613"/>
        <s v="O1830"/>
        <s v="O1063"/>
        <s v="O1088"/>
        <s v="O1163"/>
        <s v="O1345"/>
        <s v="O1352"/>
        <s v="O1455"/>
        <s v="O1473"/>
        <s v="O1587"/>
        <s v="O1925"/>
        <s v="O1982"/>
        <s v="O1490"/>
        <s v="O1578"/>
        <s v="O1183"/>
        <s v="O1274"/>
        <s v="O1459"/>
        <s v="O1743"/>
        <s v="O1158"/>
        <s v="O1200"/>
        <s v="O1292"/>
        <s v="O1519"/>
        <s v="O1675"/>
        <s v="O1720"/>
        <s v="O1762"/>
        <s v="O1827"/>
        <s v="O1954"/>
        <s v="O1211"/>
        <s v="O1393"/>
        <s v="O1634"/>
        <s v="O1642"/>
        <s v="O1684"/>
        <s v="O1697"/>
        <s v="O1948"/>
        <s v="O1909"/>
        <s v="O1047"/>
        <s v="O1271"/>
        <s v="O1059"/>
        <s v="O1104"/>
        <s v="O1210"/>
        <s v="O1443"/>
        <s v="O1558"/>
        <s v="O1570"/>
        <s v="O1653"/>
        <s v="O1945"/>
        <s v="O1946"/>
        <s v="O1256"/>
        <s v="O1273"/>
        <s v="O1935"/>
        <s v="O1050"/>
        <s v="O1159"/>
        <s v="O1733"/>
        <s v="O1854"/>
        <s v="O1955"/>
        <s v="O1048"/>
        <s v="O1268"/>
        <s v="O1303"/>
        <s v="O1394"/>
        <s v="O1767"/>
        <s v="O1157"/>
        <s v="O1567"/>
        <s v="O1571"/>
        <s v="O1607"/>
        <s v="O1957"/>
        <s v="O1022"/>
        <s v="O1097"/>
        <s v="O1261"/>
        <s v="O1626"/>
        <s v="O1635"/>
        <s v="O1756"/>
        <s v="O1805"/>
        <s v="O1042"/>
        <s v="O1110"/>
        <s v="O1266"/>
        <s v="O1395"/>
        <s v="O1439"/>
        <s v="O1466"/>
        <s v="O1628"/>
        <s v="O1043"/>
        <s v="O1725"/>
        <s v="O1871"/>
        <s v="O1921"/>
        <s v="O1085"/>
        <s v="O1141"/>
        <s v="O1336"/>
        <s v="O1359"/>
        <s v="O1569"/>
        <s v="O1800"/>
        <s v="O1876"/>
        <s v="O1152"/>
        <s v="O1185"/>
        <s v="O1339"/>
        <s v="O1654"/>
        <s v="O1698"/>
        <s v="O1929"/>
        <s v="O1133"/>
        <s v="O1474"/>
        <s v="O1584"/>
        <s v="O1930"/>
        <s v="O1974"/>
        <s v="O1094"/>
        <s v="O1362"/>
        <s v="O1454"/>
        <s v="O1470"/>
        <s v="O1652"/>
        <s v="O1655"/>
        <s v="O1851"/>
        <s v="O1197"/>
        <s v="O1224"/>
        <s v="O1297"/>
        <s v="O1480"/>
        <s v="O1641"/>
        <s v="O1646"/>
        <s v="O1757"/>
        <s v="O1784"/>
        <s v="O1497"/>
        <s v="O1627"/>
        <s v="O1815"/>
        <s v="O1869"/>
        <s v="O1120"/>
        <s v="O1132"/>
        <s v="O1175"/>
        <s v="O1510"/>
        <s v="O1534"/>
        <s v="O1610"/>
        <s v="O1749"/>
        <s v="O1807"/>
        <s v="O1304"/>
        <s v="O1386"/>
        <s v="O1533"/>
        <s v="O1614"/>
        <s v="O1706"/>
        <s v="O1811"/>
        <s v="O1136"/>
        <s v="O1503"/>
        <s v="O1737"/>
        <s v="O1581"/>
        <s v="O1833"/>
        <s v="O1015"/>
        <s v="O1260"/>
        <s v="O1300"/>
        <s v="O1552"/>
        <s v="O1841"/>
        <s v="O1937"/>
        <s v="O1964"/>
        <s v="O1192"/>
        <s v="O1332"/>
        <s v="O1369"/>
        <s v="O1753"/>
        <s v="O1786"/>
        <s v="O1217"/>
        <s v="O1409"/>
        <s v="O1431"/>
        <s v="O1499"/>
        <s v="O1514"/>
        <s v="O1544"/>
        <s v="O1866"/>
        <s v="O1923"/>
        <s v="O1116"/>
        <s v="O1213"/>
        <s v="O1438"/>
        <s v="O1149"/>
        <s v="O1227"/>
        <s v="O1306"/>
        <s v="O1836"/>
        <s v="O1991"/>
        <s v="O1162"/>
        <s v="O1847"/>
        <s v="O1972"/>
        <s v="O1176"/>
        <s v="O1188"/>
        <s v="O1821"/>
        <s v="O1037"/>
        <s v="O1283"/>
        <s v="O1403"/>
        <s v="O1220"/>
        <s v="O1606"/>
        <s v="O1794"/>
        <s v="O1091"/>
        <s v="O1165"/>
        <s v="O1389"/>
        <s v="O1456"/>
        <s v="O1556"/>
        <s v="O1989"/>
        <s v="O1385"/>
        <s v="O1516"/>
        <s v="O1705"/>
        <s v="O1878"/>
        <s v="O1186"/>
        <s v="O1542"/>
        <s v="O1056"/>
        <s v="O1177"/>
        <s v="O1422"/>
        <s v="O1683"/>
        <s v="O1730"/>
        <s v="O1734"/>
        <s v="O1765"/>
        <s v="O1829"/>
        <s v="O1920"/>
        <s v="O1182"/>
        <s v="O1219"/>
        <s v="O1276"/>
        <s v="O1367"/>
        <s v="O1410"/>
        <s v="O1432"/>
        <s v="O1752"/>
        <s v="O1766"/>
        <s v="O1881"/>
        <s v="O1618"/>
        <s v="O1625"/>
        <s v="O1773"/>
        <s v="O1845"/>
        <s v="O1875"/>
        <s v="O1021"/>
        <s v="O1045"/>
        <s v="O1433"/>
        <s v="O1710"/>
        <s v="O1142"/>
        <s v="O1460"/>
        <s v="O1952"/>
        <s v="O1083"/>
        <s v="O1324"/>
        <s v="O1400"/>
        <s v="O1619"/>
        <s v="O1650"/>
        <s v="O1732"/>
        <s v="O1912"/>
        <s v="O1208"/>
        <s v="O1351"/>
        <s v="O1421"/>
        <s v="O1677"/>
        <s v="O1894"/>
        <s v="O1992"/>
        <s v="O1380"/>
        <s v="O1539"/>
        <s v="O1599"/>
        <s v="O1320"/>
        <s v="O1855"/>
        <s v="O1905"/>
        <s v="O2000"/>
        <s v="O1178"/>
        <s v="O1317"/>
        <s v="O1318"/>
        <s v="O1420"/>
        <s v="O1462"/>
        <s v="O1479"/>
        <s v="O1676"/>
        <s v="O1835"/>
        <s v="O1035"/>
        <s v="O1079"/>
        <s v="O1287"/>
        <s v="O1402"/>
        <s v="O1451"/>
        <s v="O1950"/>
        <s v="O1154"/>
        <s v="O1161"/>
        <s v="O1232"/>
        <s v="O1686"/>
        <s v="O1870"/>
        <s v="O1995"/>
        <s v="O1338"/>
        <s v="O1468"/>
        <s v="O1657"/>
        <s v="O1776"/>
        <s v="O1278"/>
        <s v="O1011"/>
        <s v="O1301"/>
        <s v="O1406"/>
        <s v="O1967"/>
        <s v="O1115"/>
        <s v="O1343"/>
        <s v="O1665"/>
        <s v="O1061"/>
        <s v="O1187"/>
        <s v="O1258"/>
        <s v="O1745"/>
        <s v="O1919"/>
        <s v="O1001"/>
        <s v="O1225"/>
        <s v="O1414"/>
        <s v="O1680"/>
        <s v="O1282"/>
        <s v="O1592"/>
        <s v="O1649"/>
        <s v="O1865"/>
        <s v="O1543"/>
        <s v="O1326"/>
        <s v="O1779"/>
        <s v="O1106"/>
        <s v="O1153"/>
        <s v="O1285"/>
        <s v="O1316"/>
        <s v="O1814"/>
        <s v="O1172"/>
        <s v="O1505"/>
        <s v="O1548"/>
        <s v="O1774"/>
        <s v="O1801"/>
        <s v="O1891"/>
        <s v="O1005"/>
        <s v="O1108"/>
        <s v="O1545"/>
        <s v="O1032"/>
        <s v="O1476"/>
        <s v="O1041"/>
        <s v="O1281"/>
        <s v="O1299"/>
        <s v="O1513"/>
        <s v="O1331"/>
        <s v="O1631"/>
        <s v="O1073"/>
        <s v="O1109"/>
        <s v="O1597"/>
        <s v="O1010"/>
        <s v="O1027"/>
        <s v="O1179"/>
        <s v="O1251"/>
        <s v="O1901"/>
        <s v="O1280"/>
        <s v="O1291"/>
        <s v="O1440"/>
        <s v="O1488"/>
        <s v="O1902"/>
        <s v="O1098"/>
        <s v="O1771"/>
        <s v="O1798"/>
        <s v="O1933"/>
        <s v="O1196"/>
        <s v="O1204"/>
        <s v="O1289"/>
        <s v="O1294"/>
        <s v="O1334"/>
        <s v="O1608"/>
        <s v="O1678"/>
        <s v="O1795"/>
        <s v="O1003"/>
        <s v="O1064"/>
        <s v="O1174"/>
        <s v="O1467"/>
        <s v="O1509"/>
        <s v="O1564"/>
        <s v="O1648"/>
        <s v="O1667"/>
        <s v="O1668"/>
        <s v="O1704"/>
        <s v="O1822"/>
        <s v="O1888"/>
        <s v="O1897"/>
        <s v="O1006"/>
        <s v="O1419"/>
        <s v="O1520"/>
        <s v="O1958"/>
        <s v="O1145"/>
        <s v="O1236"/>
        <s v="O1363"/>
        <s v="O1696"/>
        <s v="O1882"/>
        <s v="O1887"/>
        <s v="O1126"/>
        <s v="O1201"/>
        <s v="O1441"/>
        <s v="O1475"/>
        <s v="O1483"/>
        <s v="O1852"/>
        <s v="O1904"/>
        <s v="O1038"/>
        <s v="O1111"/>
        <s v="O1203"/>
        <s v="O1218"/>
        <s v="O1250"/>
        <s v="O1636"/>
        <s v="O1742"/>
        <s v="O1302"/>
        <s v="O1444"/>
        <s v="O1495"/>
        <s v="O1090"/>
        <s v="O1242"/>
        <s v="O1517"/>
        <s v="O1617"/>
        <s v="O1842"/>
        <s v="O1936"/>
        <s v="O1973"/>
        <s v="O1993"/>
        <s v="O1265"/>
        <s v="O1308"/>
        <s v="O1436"/>
        <s v="O1566"/>
        <s v="O1816"/>
        <s v="O1240"/>
        <s v="O1387"/>
        <s v="O1463"/>
        <s v="O1559"/>
        <s v="O1849"/>
        <s v="O1864"/>
        <s v="O1907"/>
        <s v="O1076"/>
        <s v="O1209"/>
        <s v="O1239"/>
        <s v="O1464"/>
        <s v="O1478"/>
        <s v="O1782"/>
        <s v="O1314"/>
        <s v="O1448"/>
        <s v="O1469"/>
        <s v="O1531"/>
        <s v="O1604"/>
        <s v="O1169"/>
        <s v="O1521"/>
        <s v="O1960"/>
        <s v="O1051"/>
        <s v="O1068"/>
        <s v="O1284"/>
        <s v="O1727"/>
        <s v="O1777"/>
        <s v="O1259"/>
        <s v="O1305"/>
        <s v="O1370"/>
        <s v="O1437"/>
        <s v="O1494"/>
        <s v="O1547"/>
        <s v="O1723"/>
        <s v="O1808"/>
        <s v="O1009"/>
        <s v="O1249"/>
        <s v="O1381"/>
        <s v="O1424"/>
        <s v="O1453"/>
        <s v="O1447"/>
        <s v="O1703"/>
        <s v="O1155"/>
        <s v="O1392"/>
        <s v="O1485"/>
        <s v="O1524"/>
        <s v="O1713"/>
        <s v="O1915"/>
        <s v="O1128"/>
        <s v="O1129"/>
        <s v="O1442"/>
        <s v="O1506"/>
        <s v="O1579"/>
        <s v="O1588"/>
        <s v="O1632"/>
        <s v="O1739"/>
        <s v="O1886"/>
        <s v="O1146"/>
        <s v="O1288"/>
        <s v="O1828"/>
        <s v="O1976"/>
        <s v="O1075"/>
        <s v="O1295"/>
        <s v="O1330"/>
        <s v="O1365"/>
        <s v="O1817"/>
        <s v="O1903"/>
        <s v="O1328"/>
        <s v="O1058"/>
        <s v="O1243"/>
        <s v="O1253"/>
        <s v="O1357"/>
        <s v="O1561"/>
        <s v="O1577"/>
        <s v="O1679"/>
        <s v="O1127"/>
        <s v="O1860"/>
        <s v="O1895"/>
        <s v="O1034"/>
        <s v="O1321"/>
        <s v="O1751"/>
        <s v="O1789"/>
        <s v="O1839"/>
        <s v="O1922"/>
        <s v="O1971"/>
        <s v="O1028"/>
        <s v="O1368"/>
        <s v="O1785"/>
        <s v="O1859"/>
        <s v="O1004"/>
        <s v="O1263"/>
        <s v="O1799"/>
        <s v="O1856"/>
        <s v="O1062"/>
        <s v="O1230"/>
        <s v="O1342"/>
        <s v="O1344"/>
        <s v="O1589"/>
        <s v="O1651"/>
        <s v="O1719"/>
        <s v="O1861"/>
        <s v="O1898"/>
        <s v="O1231"/>
        <s v="O1515"/>
        <s v="O1590"/>
        <s v="O1616"/>
        <s v="O1924"/>
      </sharedItems>
    </cacheField>
    <cacheField name="Date" numFmtId="14">
      <sharedItems containsSemiMixedTypes="0" containsNonDate="0" containsDate="1" containsString="0" minDate="2024-01-01T00:00:00" maxDate="2026-09-27T00:00:00"/>
    </cacheField>
    <cacheField name="Month" numFmtId="164">
      <sharedItems count="12">
        <s v="January"/>
        <s v="February"/>
        <s v="March"/>
        <s v="April"/>
        <s v="May"/>
        <s v="June"/>
        <s v="July"/>
        <s v="August"/>
        <s v="September"/>
        <s v="October"/>
        <s v="November"/>
        <s v="December"/>
      </sharedItems>
    </cacheField>
    <cacheField name="Customer Name" numFmtId="0">
      <sharedItems/>
    </cacheField>
    <cacheField name="Age" numFmtId="0">
      <sharedItems containsSemiMixedTypes="0" containsString="0" containsNumber="1" containsInteger="1" minValue="18" maxValue="60"/>
    </cacheField>
    <cacheField name="Age Group" numFmtId="0">
      <sharedItems count="3">
        <s v="Senior"/>
        <s v="Adult"/>
        <s v="Teenager"/>
      </sharedItems>
    </cacheField>
    <cacheField name="Gender" numFmtId="0">
      <sharedItems count="2">
        <s v="Women"/>
        <s v="Men"/>
      </sharedItems>
    </cacheField>
    <cacheField name="City" numFmtId="0">
      <sharedItems count="10">
        <s v="Chennai"/>
        <s v="Jaipur"/>
        <s v="Mumbai"/>
        <s v="Hyderabad"/>
        <s v="Pune"/>
        <s v="Delhi"/>
        <s v="Bengaluru"/>
        <s v="Ahmedabad"/>
        <s v="Kolkata"/>
        <s v="Lucknow"/>
      </sharedItems>
    </cacheField>
    <cacheField name="Region" numFmtId="0">
      <sharedItems count="4">
        <s v="North"/>
        <s v="South"/>
        <s v="West"/>
        <s v="East"/>
      </sharedItems>
    </cacheField>
    <cacheField name="Product Category" numFmtId="0">
      <sharedItems count="5">
        <s v="Apparel"/>
        <s v="Furniture"/>
        <s v="Electronics"/>
        <s v="Sports"/>
        <s v="Groceries"/>
      </sharedItems>
    </cacheField>
    <cacheField name="Product Name" numFmtId="0">
      <sharedItems count="25">
        <s v="Jacket"/>
        <s v="Dining Table"/>
        <s v="Smartphone X"/>
        <s v="Gym Gloves"/>
        <s v="Eggs Pack"/>
        <s v="Olive Oil 1L"/>
        <s v="Smartwatch Z"/>
        <s v="Rice 5kg"/>
        <s v="Dress"/>
        <s v="Camera L"/>
        <s v="Milk 1L"/>
        <s v="Bookshelf"/>
        <s v="Yoga Mat"/>
        <s v="Jeans"/>
        <s v="Laptop Pro"/>
        <s v="Coffee 500g"/>
        <s v="Cricket Bat"/>
        <s v="T-Shirt"/>
        <s v="Tablet Plus"/>
        <s v="Office Chair"/>
        <s v="Sofa Set"/>
        <s v="Bed Frame"/>
        <s v="Football"/>
        <s v="Sneakers"/>
        <s v="Tennis Racket"/>
      </sharedItems>
    </cacheField>
    <cacheField name="Units Sold" numFmtId="0">
      <sharedItems containsSemiMixedTypes="0" containsString="0" containsNumber="1" containsInteger="1" minValue="1" maxValue="10"/>
    </cacheField>
    <cacheField name="Unit Price (₹)" numFmtId="0">
      <sharedItems containsSemiMixedTypes="0" containsString="0" containsNumber="1" containsInteger="1" minValue="59" maxValue="49903"/>
    </cacheField>
    <cacheField name="Total Sales (₹)" numFmtId="0">
      <sharedItems containsSemiMixedTypes="0" containsString="0" containsNumber="1" containsInteger="1" minValue="177" maxValue="495240" count="993">
        <n v="231350"/>
        <n v="143810"/>
        <n v="128682"/>
        <n v="29538"/>
        <n v="3280"/>
        <n v="161964"/>
        <n v="390483"/>
        <n v="1206"/>
        <n v="165490"/>
        <n v="5964"/>
        <n v="31985"/>
        <n v="1908"/>
        <n v="259614"/>
        <n v="377270"/>
        <n v="12780"/>
        <n v="14680"/>
        <n v="35304"/>
        <n v="323351"/>
        <n v="95355"/>
        <n v="39128"/>
        <n v="28473"/>
        <n v="9584"/>
        <n v="53090"/>
        <n v="11380"/>
        <n v="272151"/>
        <n v="6741"/>
        <n v="15444"/>
        <n v="480360"/>
        <n v="161000"/>
        <n v="125665"/>
        <n v="7088"/>
        <n v="85308"/>
        <n v="9216"/>
        <n v="10087"/>
        <n v="386073"/>
        <n v="8188"/>
        <n v="113415"/>
        <n v="76155"/>
        <n v="39840"/>
        <n v="91680"/>
        <n v="140040"/>
        <n v="247520"/>
        <n v="70077"/>
        <n v="17904"/>
        <n v="224181"/>
        <n v="105825"/>
        <n v="235525"/>
        <n v="61888"/>
        <n v="23980"/>
        <n v="9594"/>
        <n v="437625"/>
        <n v="184905"/>
        <n v="482520"/>
        <n v="30116"/>
        <n v="444510"/>
        <n v="251220"/>
        <n v="333193"/>
        <n v="131019"/>
        <n v="46222"/>
        <n v="66740"/>
        <n v="582"/>
        <n v="370215"/>
        <n v="229308"/>
        <n v="4845"/>
        <n v="148494"/>
        <n v="11101"/>
        <n v="9686"/>
        <n v="112845"/>
        <n v="42118"/>
        <n v="46530"/>
        <n v="495240"/>
        <n v="9550"/>
        <n v="146331"/>
        <n v="126468"/>
        <n v="13762"/>
        <n v="139395"/>
        <n v="173304"/>
        <n v="22344"/>
        <n v="17326"/>
        <n v="286300"/>
        <n v="766"/>
        <n v="134100"/>
        <n v="44124"/>
        <n v="33246"/>
        <n v="169880"/>
        <n v="132444"/>
        <n v="31550"/>
        <n v="1644"/>
        <n v="14010"/>
        <n v="225360"/>
        <n v="172599"/>
        <n v="7142"/>
        <n v="11488"/>
        <n v="49928"/>
        <n v="133372"/>
        <n v="40840"/>
        <n v="618"/>
        <n v="177018"/>
        <n v="66272"/>
        <n v="3198"/>
        <n v="233712"/>
        <n v="196227"/>
        <n v="542"/>
        <n v="208856"/>
        <n v="383472"/>
        <n v="113562"/>
        <n v="19957"/>
        <n v="405900"/>
        <n v="34940"/>
        <n v="1737"/>
        <n v="5030"/>
        <n v="125505"/>
        <n v="138519"/>
        <n v="432030"/>
        <n v="33129"/>
        <n v="266056"/>
        <n v="335385"/>
        <n v="75108"/>
        <n v="11360"/>
        <n v="8352"/>
        <n v="75051"/>
        <n v="121893"/>
        <n v="76980"/>
        <n v="108451"/>
        <n v="48849"/>
        <n v="335468"/>
        <n v="105808"/>
        <n v="97413"/>
        <n v="170688"/>
        <n v="11997"/>
        <n v="149295"/>
        <n v="19446"/>
        <n v="106240"/>
        <n v="5216"/>
        <n v="9213"/>
        <n v="83370"/>
        <n v="219216"/>
        <n v="136595"/>
        <n v="32547"/>
        <n v="39402"/>
        <n v="144448"/>
        <n v="37573"/>
        <n v="1477"/>
        <n v="24960"/>
        <n v="213829"/>
        <n v="395090"/>
        <n v="180988"/>
        <n v="103302"/>
        <n v="289390"/>
        <n v="353184"/>
        <n v="79235"/>
        <n v="70222"/>
        <n v="20402"/>
        <n v="34528"/>
        <n v="120789"/>
        <n v="69675"/>
        <n v="41478"/>
        <n v="73545"/>
        <n v="238960"/>
        <n v="537"/>
        <n v="290616"/>
        <n v="50535"/>
        <n v="116523"/>
        <n v="342544"/>
        <n v="61684"/>
        <n v="120850"/>
        <n v="24320"/>
        <n v="214047"/>
        <n v="86064"/>
        <n v="351128"/>
        <n v="28836"/>
        <n v="12930"/>
        <n v="224045"/>
        <n v="143883"/>
        <n v="4707"/>
        <n v="64029"/>
        <n v="162468"/>
        <n v="5184"/>
        <n v="64420"/>
        <n v="486280"/>
        <n v="14456"/>
        <n v="48229"/>
        <n v="32799"/>
        <n v="268680"/>
        <n v="222440"/>
        <n v="250155"/>
        <n v="2890"/>
        <n v="14560"/>
        <n v="175992"/>
        <n v="192255"/>
        <n v="351944"/>
        <n v="83025"/>
        <n v="142408"/>
        <n v="294448"/>
        <n v="99000"/>
        <n v="44512"/>
        <n v="273"/>
        <n v="6727"/>
        <n v="200688"/>
        <n v="193518"/>
        <n v="335258"/>
        <n v="3273"/>
        <n v="28664"/>
        <n v="327150"/>
        <n v="44369"/>
        <n v="163360"/>
        <n v="30768"/>
        <n v="48650"/>
        <n v="214360"/>
        <n v="6960"/>
        <n v="82470"/>
        <n v="151590"/>
        <n v="296190"/>
        <n v="183870"/>
        <n v="72620"/>
        <n v="41856"/>
        <n v="161667"/>
        <n v="331461"/>
        <n v="338940"/>
        <n v="235"/>
        <n v="245928"/>
        <n v="87234"/>
        <n v="430010"/>
        <n v="49806"/>
        <n v="37692"/>
        <n v="414510"/>
        <n v="198790"/>
        <n v="48296"/>
        <n v="58482"/>
        <n v="33808"/>
        <n v="40941"/>
        <n v="4901"/>
        <n v="316729"/>
        <n v="2964"/>
        <n v="177312"/>
        <n v="2502"/>
        <n v="221095"/>
        <n v="13253"/>
        <n v="283120"/>
        <n v="8082"/>
        <n v="64328"/>
        <n v="55280"/>
        <n v="3720"/>
        <n v="2080"/>
        <n v="273872"/>
        <n v="18108"/>
        <n v="19826"/>
        <n v="133852"/>
        <n v="181968"/>
        <n v="6340"/>
        <n v="220864"/>
        <n v="372990"/>
        <n v="203912"/>
        <n v="67984"/>
        <n v="19218"/>
        <n v="79872"/>
        <n v="17446"/>
        <n v="295896"/>
        <n v="44146"/>
        <n v="140853"/>
        <n v="191493"/>
        <n v="269586"/>
        <n v="27810"/>
        <n v="35585"/>
        <n v="14214"/>
        <n v="190856"/>
        <n v="296610"/>
        <n v="118556"/>
        <n v="222138"/>
        <n v="490440"/>
        <n v="105020"/>
        <n v="165615"/>
        <n v="13545"/>
        <n v="15203"/>
        <n v="2364"/>
        <n v="83685"/>
        <n v="3111"/>
        <n v="58808"/>
        <n v="1600"/>
        <n v="14508"/>
        <n v="6244"/>
        <n v="172616"/>
        <n v="9486"/>
        <n v="8504"/>
        <n v="261504"/>
        <n v="250458"/>
        <n v="67593"/>
        <n v="92248"/>
        <n v="192633"/>
        <n v="37288"/>
        <n v="301840"/>
        <n v="175764"/>
        <n v="66212"/>
        <n v="2952"/>
        <n v="2315"/>
        <n v="298690"/>
        <n v="5778"/>
        <n v="68373"/>
        <n v="135213"/>
        <n v="19244"/>
        <n v="6507"/>
        <n v="43969"/>
        <n v="168966"/>
        <n v="8034"/>
        <n v="702"/>
        <n v="206415"/>
        <n v="32532"/>
        <n v="1602"/>
        <n v="57845"/>
        <n v="273702"/>
        <n v="12418"/>
        <n v="65718"/>
        <n v="23348"/>
        <n v="65412"/>
        <n v="44926"/>
        <n v="207720"/>
        <n v="257068"/>
        <n v="98088"/>
        <n v="4564"/>
        <n v="10731"/>
        <n v="116716"/>
        <n v="9037"/>
        <n v="47208"/>
        <n v="98106"/>
        <n v="10998"/>
        <n v="4347"/>
        <n v="447030"/>
        <n v="309256"/>
        <n v="87438"/>
        <n v="5682"/>
        <n v="81252"/>
        <n v="4060"/>
        <n v="342830"/>
        <n v="72920"/>
        <n v="5440"/>
        <n v="88122"/>
        <n v="88986"/>
        <n v="212616"/>
        <n v="40097"/>
        <n v="233198"/>
        <n v="64944"/>
        <n v="188340"/>
        <n v="446390"/>
        <n v="387300"/>
        <n v="9432"/>
        <n v="47385"/>
        <n v="195786"/>
        <n v="129558"/>
        <n v="3318"/>
        <n v="225533"/>
        <n v="6990"/>
        <n v="41054"/>
        <n v="38334"/>
        <n v="75348"/>
        <n v="135824"/>
        <n v="11480"/>
        <n v="251468"/>
        <n v="54922"/>
        <n v="4167"/>
        <n v="23944"/>
        <n v="95121"/>
        <n v="1236"/>
        <n v="35978"/>
        <n v="192808"/>
        <n v="10171"/>
        <n v="58060"/>
        <n v="80704"/>
        <n v="61212"/>
        <n v="32630"/>
        <n v="374904"/>
        <n v="62950"/>
        <n v="240740"/>
        <n v="29700"/>
        <n v="54792"/>
        <n v="15384"/>
        <n v="2175"/>
        <n v="23040"/>
        <n v="4208"/>
        <n v="332830"/>
        <n v="180796"/>
        <n v="28752"/>
        <n v="58566"/>
        <n v="611"/>
        <n v="195335"/>
        <n v="123333"/>
        <n v="97976"/>
        <n v="205821"/>
        <n v="261989"/>
        <n v="61488"/>
        <n v="379460"/>
        <n v="239810"/>
        <n v="150395"/>
        <n v="331776"/>
        <n v="313264"/>
        <n v="259968"/>
        <n v="90378"/>
        <n v="346360"/>
        <n v="46557"/>
        <n v="19219"/>
        <n v="5061"/>
        <n v="197964"/>
        <n v="13590"/>
        <n v="398392"/>
        <n v="70184"/>
        <n v="66532"/>
        <n v="18374"/>
        <n v="4116"/>
        <n v="11104"/>
        <n v="1094"/>
        <n v="302436"/>
        <n v="339"/>
        <n v="66561"/>
        <n v="38990"/>
        <n v="147944"/>
        <n v="46736"/>
        <n v="25949"/>
        <n v="177"/>
        <n v="216"/>
        <n v="123096"/>
        <n v="210416"/>
        <n v="114507"/>
        <n v="46869"/>
        <n v="1599"/>
        <n v="1454"/>
        <n v="240255"/>
        <n v="15430"/>
        <n v="19262"/>
        <n v="4456"/>
        <n v="143703"/>
        <n v="17306"/>
        <n v="58359"/>
        <n v="453970"/>
        <n v="191502"/>
        <n v="12396"/>
        <n v="56928"/>
        <n v="252980"/>
        <n v="13741"/>
        <n v="120440"/>
        <n v="192"/>
        <n v="31670"/>
        <n v="54670"/>
        <n v="63564"/>
        <n v="4812"/>
        <n v="135620"/>
        <n v="37336"/>
        <n v="70758"/>
        <n v="29123"/>
        <n v="1484"/>
        <n v="93408"/>
        <n v="69950"/>
        <n v="13626"/>
        <n v="26315"/>
        <n v="15771"/>
        <n v="81468"/>
        <n v="146268"/>
        <n v="414810"/>
        <n v="256690"/>
        <n v="4865"/>
        <n v="45720"/>
        <n v="11115"/>
        <n v="51605"/>
        <n v="254652"/>
        <n v="327040"/>
        <n v="6090"/>
        <n v="120003"/>
        <n v="4475"/>
        <n v="37881"/>
        <n v="300600"/>
        <n v="142180"/>
        <n v="426960"/>
        <n v="1200"/>
        <n v="78705"/>
        <n v="267270"/>
        <n v="47940"/>
        <n v="85546"/>
        <n v="137856"/>
        <n v="344"/>
        <n v="48286"/>
        <n v="232332"/>
        <n v="80289"/>
        <n v="7168"/>
        <n v="17201"/>
        <n v="190605"/>
        <n v="37686"/>
        <n v="205360"/>
        <n v="35477"/>
        <n v="48880"/>
        <n v="6040"/>
        <n v="259063"/>
        <n v="85072"/>
        <n v="86440"/>
        <n v="54042"/>
        <n v="16470"/>
        <n v="6846"/>
        <n v="552"/>
        <n v="138282"/>
        <n v="129840"/>
        <n v="260248"/>
        <n v="1354"/>
        <n v="184038"/>
        <n v="44110"/>
        <n v="457810"/>
        <n v="77368"/>
        <n v="35060"/>
        <n v="28860"/>
        <n v="70428"/>
        <n v="51324"/>
        <n v="70804"/>
        <n v="123650"/>
        <n v="241997"/>
        <n v="8568"/>
        <n v="9160"/>
        <n v="82606"/>
        <n v="88470"/>
        <n v="149196"/>
        <n v="60462"/>
        <n v="26656"/>
        <n v="2004"/>
        <n v="100980"/>
        <n v="130150"/>
        <n v="160444"/>
        <n v="93128"/>
        <n v="36959"/>
        <n v="83965"/>
        <n v="14576"/>
        <n v="70784"/>
        <n v="194160"/>
        <n v="114054"/>
        <n v="295002"/>
        <n v="233280"/>
        <n v="3585"/>
        <n v="13062"/>
        <n v="474630"/>
        <n v="353370"/>
        <n v="301420"/>
        <n v="80256"/>
        <n v="414"/>
        <n v="230425"/>
        <n v="16114"/>
        <n v="311930"/>
        <n v="177890"/>
        <n v="59604"/>
        <n v="28120"/>
        <n v="11452"/>
        <n v="18750"/>
        <n v="256158"/>
        <n v="124446"/>
        <n v="139113"/>
        <n v="36674"/>
        <n v="116559"/>
        <n v="92052"/>
        <n v="239724"/>
        <n v="138910"/>
        <n v="187555"/>
        <n v="6114"/>
        <n v="244006"/>
        <n v="55540"/>
        <n v="45956"/>
        <n v="342891"/>
        <n v="96456"/>
        <n v="292012"/>
        <n v="43440"/>
        <n v="77128"/>
        <n v="590"/>
        <n v="49077"/>
        <n v="4536"/>
        <n v="226026"/>
        <n v="26313"/>
        <n v="8815"/>
        <n v="133412"/>
        <n v="53488"/>
        <n v="33722"/>
        <n v="206810"/>
        <n v="108564"/>
        <n v="65180"/>
        <n v="319232"/>
        <n v="150276"/>
        <n v="18095"/>
        <n v="244461"/>
        <n v="95118"/>
        <n v="4653"/>
        <n v="209964"/>
        <n v="18725"/>
        <n v="53060"/>
        <n v="39795"/>
        <n v="83615"/>
        <n v="242344"/>
        <n v="179703"/>
        <n v="140808"/>
        <n v="193588"/>
        <n v="2280"/>
        <n v="234648"/>
        <n v="3408"/>
        <n v="120168"/>
        <n v="119928"/>
        <n v="149070"/>
        <n v="273159"/>
        <n v="28064"/>
        <n v="9905"/>
        <n v="224007"/>
        <n v="4821"/>
        <n v="107370"/>
        <n v="15900"/>
        <n v="1428"/>
        <n v="92656"/>
        <n v="1260"/>
        <n v="286044"/>
        <n v="41130"/>
        <n v="265950"/>
        <n v="49346"/>
        <n v="7908"/>
        <n v="28663"/>
        <n v="2632"/>
        <n v="181470"/>
        <n v="66608"/>
        <n v="153024"/>
        <n v="361690"/>
        <n v="1774"/>
        <n v="250320"/>
        <n v="100476"/>
        <n v="131502"/>
        <n v="208264"/>
        <n v="54810"/>
        <n v="39525"/>
        <n v="120260"/>
        <n v="39856"/>
        <n v="313620"/>
        <n v="70632"/>
        <n v="77084"/>
        <n v="191440"/>
        <n v="2024"/>
        <n v="8516"/>
        <n v="31263"/>
        <n v="40568"/>
        <n v="51795"/>
        <n v="47616"/>
        <n v="44625"/>
        <n v="74998"/>
        <n v="18570"/>
        <n v="166512"/>
        <n v="124145"/>
        <n v="31423"/>
        <n v="131264"/>
        <n v="129000"/>
        <n v="202180"/>
        <n v="3982"/>
        <n v="218748"/>
        <n v="40000"/>
        <n v="206100"/>
        <n v="1122"/>
        <n v="290297"/>
        <n v="5164"/>
        <n v="411810"/>
        <n v="182175"/>
        <n v="173648"/>
        <n v="170016"/>
        <n v="1872"/>
        <n v="211578"/>
        <n v="79482"/>
        <n v="4914"/>
        <n v="67332"/>
        <n v="372"/>
        <n v="28938"/>
        <n v="100938"/>
        <n v="4836"/>
        <n v="8465"/>
        <n v="13275"/>
        <n v="135483"/>
        <n v="32244"/>
        <n v="7048"/>
        <n v="36860"/>
        <n v="94350"/>
        <n v="281510"/>
        <n v="8208"/>
        <n v="36694"/>
        <n v="1400"/>
        <n v="9145"/>
        <n v="10664"/>
        <n v="65732"/>
        <n v="7868"/>
        <n v="8130"/>
        <n v="75099"/>
        <n v="201824"/>
        <n v="12023"/>
        <n v="14272"/>
        <n v="4697"/>
        <n v="122488"/>
        <n v="4372"/>
        <n v="232585"/>
        <n v="22926"/>
        <n v="579"/>
        <n v="144740"/>
        <n v="1823"/>
        <n v="154336"/>
        <n v="5700"/>
        <n v="1623"/>
        <n v="6601"/>
        <n v="305370"/>
        <n v="187192"/>
        <n v="335"/>
        <n v="166072"/>
        <n v="130059"/>
        <n v="21000"/>
        <n v="43104"/>
        <n v="2784"/>
        <n v="192424"/>
        <n v="87545"/>
        <n v="2114"/>
        <n v="41216"/>
        <n v="239210"/>
        <n v="60515"/>
        <n v="26128"/>
        <n v="5406"/>
        <n v="315994"/>
        <n v="82200"/>
        <n v="234105"/>
        <n v="160460"/>
        <n v="24740"/>
        <n v="3228"/>
        <n v="27512"/>
        <n v="65406"/>
        <n v="25406"/>
        <n v="54834"/>
        <n v="39668"/>
        <n v="3468"/>
        <n v="197045"/>
        <n v="204080"/>
        <n v="378090"/>
        <n v="196956"/>
        <n v="179440"/>
        <n v="4554"/>
        <n v="94518"/>
        <n v="4635"/>
        <n v="45058"/>
        <n v="2607"/>
        <n v="131031"/>
        <n v="188616"/>
        <n v="25128"/>
        <n v="106895"/>
        <n v="12272"/>
        <n v="254128"/>
        <n v="192420"/>
        <n v="58251"/>
        <n v="27410"/>
        <n v="94072"/>
        <n v="70305"/>
        <n v="155672"/>
        <n v="3344"/>
        <n v="155876"/>
        <n v="264537"/>
        <n v="59523"/>
        <n v="75525"/>
        <n v="129585"/>
        <n v="2638"/>
        <n v="99640"/>
        <n v="106780"/>
        <n v="17340"/>
        <n v="24212"/>
        <n v="323414"/>
        <n v="16238"/>
        <n v="5948"/>
        <n v="133215"/>
        <n v="470230"/>
        <n v="6396"/>
        <n v="103285"/>
        <n v="66447"/>
        <n v="48422"/>
        <n v="190150"/>
        <n v="144112"/>
        <n v="2133"/>
        <n v="298011"/>
        <n v="15300"/>
        <n v="98042"/>
        <n v="95790"/>
        <n v="26309"/>
        <n v="184404"/>
        <n v="316070"/>
        <n v="363320"/>
        <n v="118749"/>
        <n v="11872"/>
        <n v="77796"/>
        <n v="104220"/>
        <n v="353456"/>
        <n v="87540"/>
        <n v="191112"/>
        <n v="117404"/>
        <n v="165810"/>
        <n v="159088"/>
        <n v="347739"/>
        <n v="174525"/>
        <n v="2169"/>
        <n v="416772"/>
        <n v="241173"/>
        <n v="1404"/>
        <n v="170892"/>
        <n v="122227"/>
        <n v="3327"/>
        <n v="203480"/>
        <n v="101166"/>
        <n v="177080"/>
        <n v="2298"/>
        <n v="142389"/>
        <n v="97460"/>
        <n v="312116"/>
        <n v="3666"/>
        <n v="436500"/>
        <n v="69594"/>
        <n v="119105"/>
        <n v="210035"/>
        <n v="8526"/>
        <n v="29080"/>
        <n v="159992"/>
        <n v="154685"/>
        <n v="108339"/>
        <n v="3296"/>
        <n v="81660"/>
        <n v="75309"/>
        <n v="1688"/>
        <n v="63321"/>
        <n v="215620"/>
        <n v="285129"/>
        <n v="62250"/>
        <n v="102474"/>
        <n v="7845"/>
        <n v="48186"/>
        <n v="271698"/>
        <n v="44550"/>
        <n v="17772"/>
        <n v="86611"/>
        <n v="26100"/>
        <n v="280777"/>
        <n v="163476"/>
        <n v="19920"/>
        <n v="141168"/>
        <n v="11592"/>
        <n v="213010"/>
        <n v="45766"/>
        <n v="242442"/>
        <n v="282555"/>
        <n v="21474"/>
        <n v="3410"/>
        <n v="334040"/>
        <n v="436240"/>
        <n v="150920"/>
        <n v="68810"/>
        <n v="46026"/>
        <n v="26705"/>
        <n v="13984"/>
        <n v="63189"/>
        <n v="125237"/>
        <n v="189408"/>
        <n v="6138"/>
        <n v="47292"/>
        <n v="14350"/>
        <n v="58525"/>
        <n v="289188"/>
        <n v="79494"/>
        <n v="39528"/>
        <n v="72312"/>
        <n v="134055"/>
        <n v="210498"/>
        <n v="97520"/>
        <n v="138128"/>
        <n v="19991"/>
        <n v="191604"/>
        <n v="8165"/>
        <n v="101208"/>
        <n v="86610"/>
        <n v="41192"/>
        <n v="111360"/>
        <n v="51320"/>
        <n v="70140"/>
        <n v="158298"/>
        <n v="2454"/>
        <n v="79640"/>
        <n v="275712"/>
        <n v="41360"/>
        <n v="162526"/>
        <n v="265308"/>
        <n v="237512"/>
        <n v="368656"/>
        <n v="162415"/>
        <n v="45780"/>
        <n v="100121"/>
        <n v="153391"/>
        <n v="47740"/>
        <n v="91827"/>
        <n v="6656"/>
        <n v="5368"/>
        <n v="70220"/>
        <n v="144704"/>
        <n v="5320"/>
        <n v="903"/>
        <n v="16278"/>
        <n v="107877"/>
        <n v="337446"/>
        <n v="217584"/>
        <n v="14049"/>
        <n v="74991"/>
        <n v="22580"/>
        <n v="117708"/>
        <n v="22242"/>
        <n v="93216"/>
        <n v="71250"/>
        <n v="18845"/>
        <n v="124252"/>
        <n v="1564"/>
        <n v="100372"/>
        <n v="116772"/>
        <n v="288260"/>
        <n v="3054"/>
        <n v="219570"/>
        <n v="419810"/>
        <n v="52590"/>
        <n v="268776"/>
        <n v="170504"/>
        <n v="85185"/>
        <n v="238644"/>
        <n v="6839"/>
        <n v="13388"/>
        <n v="2142"/>
        <n v="2814"/>
        <n v="62510"/>
        <n v="308740"/>
        <n v="156430"/>
        <n v="8820"/>
        <n v="119058"/>
        <n v="20253"/>
        <n v="2682"/>
        <n v="241675"/>
        <n v="8494"/>
        <n v="325112"/>
        <n v="206780"/>
        <n v="103800"/>
        <n v="7169"/>
        <n v="279916"/>
        <n v="205002"/>
        <n v="2130"/>
        <n v="154000"/>
        <n v="292986"/>
        <n v="5940"/>
        <n v="49903"/>
        <n v="1154"/>
        <n v="3880"/>
        <n v="196728"/>
        <n v="113784"/>
        <n v="257076"/>
        <n v="8260"/>
        <n v="82168"/>
        <n v="20446"/>
        <n v="49840"/>
        <n v="336590"/>
        <n v="290720"/>
        <n v="320432"/>
        <n v="310926"/>
        <n v="6169"/>
        <n v="14637"/>
        <n v="3504"/>
        <n v="312010"/>
        <n v="29204"/>
        <n v="32409"/>
        <n v="90050"/>
        <n v="40938"/>
        <n v="18055"/>
        <n v="45904"/>
        <n v="47110"/>
        <n v="205260"/>
        <n v="358592"/>
        <n v="113847"/>
        <n v="380160"/>
        <n v="2886"/>
        <n v="121464"/>
        <n v="25776"/>
        <n v="181584"/>
        <n v="49687"/>
        <n v="239000"/>
        <n v="138155"/>
        <n v="68534"/>
        <n v="251388"/>
        <n v="12747"/>
        <n v="5996"/>
        <n v="6704"/>
        <n v="7182"/>
        <n v="370720"/>
        <n v="1233"/>
        <n v="36357"/>
        <n v="358560"/>
        <n v="160320"/>
        <n v="1839"/>
        <n v="8060"/>
        <n v="117030"/>
        <n v="124136"/>
        <n v="249360"/>
      </sharedItems>
    </cacheField>
    <cacheField name="Payment Mode" numFmtId="0">
      <sharedItems count="5">
        <s v="Net Banking"/>
        <s v="Debit Card"/>
        <s v="Cash on Delivery"/>
        <s v="UPI"/>
        <s v="Credit Card"/>
      </sharedItems>
    </cacheField>
    <cacheField name="Delivery Days" numFmtId="0">
      <sharedItems containsSemiMixedTypes="0" containsString="0" containsNumber="1" containsInteger="1" minValue="1" maxValue="10" count="10">
        <n v="2"/>
        <n v="1"/>
        <n v="7"/>
        <n v="6"/>
        <n v="3"/>
        <n v="9"/>
        <n v="5"/>
        <n v="4"/>
        <n v="8"/>
        <n v="10"/>
      </sharedItems>
    </cacheField>
    <cacheField name="Customer Rating" numFmtId="0">
      <sharedItems containsSemiMixedTypes="0" containsString="0" containsNumber="1" containsInteger="1" minValue="1" maxValue="5"/>
    </cacheField>
    <cacheField name="Repeat Purchase" numFmtId="0">
      <sharedItems/>
    </cacheField>
  </cacheFields>
  <extLst>
    <ext xmlns:x14="http://schemas.microsoft.com/office/spreadsheetml/2009/9/main" uri="{725AE2AE-9491-48be-B2B4-4EB974FC3084}">
      <x14:pivotCacheDefinition pivotCacheId="7143976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vesh  Choudhary" refreshedDate="45888.889459606478" createdVersion="8" refreshedVersion="8" minRefreshableVersion="3" recordCount="72" xr:uid="{60F39072-3479-4937-A245-6D2DE8B096E2}">
  <cacheSource type="worksheet">
    <worksheetSource ref="A1:B73" sheet="T.s(month.and prd.cat)"/>
  </cacheSource>
  <cacheFields count="2">
    <cacheField name="Row Labels" numFmtId="0">
      <sharedItems count="17">
        <s v="January"/>
        <s v="Apparel"/>
        <s v="Electronics"/>
        <s v="Furniture"/>
        <s v="Groceries"/>
        <s v="Sports"/>
        <s v="February"/>
        <s v="March"/>
        <s v="April"/>
        <s v="May"/>
        <s v="June"/>
        <s v="July"/>
        <s v="August"/>
        <s v="September"/>
        <s v="October"/>
        <s v="November"/>
        <s v="December"/>
      </sharedItems>
    </cacheField>
    <cacheField name="Sum of Total Sales (₹)" numFmtId="0">
      <sharedItems containsSemiMixedTypes="0" containsString="0" containsNumber="1" containsInteger="1" minValue="41016" maxValue="117405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d v="2024-01-01T00:00:00"/>
    <x v="0"/>
    <s v="Meera Bose"/>
    <n v="56"/>
    <x v="0"/>
    <x v="0"/>
    <x v="0"/>
    <x v="0"/>
    <x v="0"/>
    <x v="0"/>
    <n v="5"/>
    <n v="46270"/>
    <x v="0"/>
    <x v="0"/>
    <x v="0"/>
    <n v="2"/>
    <s v="No"/>
  </r>
  <r>
    <n v="2"/>
    <x v="1"/>
    <d v="2024-01-02T00:00:00"/>
    <x v="0"/>
    <s v="Ishita Gupta"/>
    <n v="42"/>
    <x v="1"/>
    <x v="0"/>
    <x v="1"/>
    <x v="1"/>
    <x v="1"/>
    <x v="1"/>
    <n v="5"/>
    <n v="28762"/>
    <x v="1"/>
    <x v="0"/>
    <x v="1"/>
    <n v="4"/>
    <s v="No"/>
  </r>
  <r>
    <n v="3"/>
    <x v="2"/>
    <d v="2024-01-03T00:00:00"/>
    <x v="0"/>
    <s v="Kavya Roy"/>
    <n v="54"/>
    <x v="0"/>
    <x v="0"/>
    <x v="2"/>
    <x v="1"/>
    <x v="2"/>
    <x v="2"/>
    <n v="9"/>
    <n v="14298"/>
    <x v="2"/>
    <x v="0"/>
    <x v="2"/>
    <n v="4"/>
    <s v="No"/>
  </r>
  <r>
    <n v="4"/>
    <x v="3"/>
    <d v="2024-01-04T00:00:00"/>
    <x v="0"/>
    <s v="Ravi Singh"/>
    <n v="29"/>
    <x v="2"/>
    <x v="1"/>
    <x v="3"/>
    <x v="1"/>
    <x v="3"/>
    <x v="3"/>
    <n v="6"/>
    <n v="4923"/>
    <x v="3"/>
    <x v="0"/>
    <x v="1"/>
    <n v="4"/>
    <s v="Yes"/>
  </r>
  <r>
    <n v="5"/>
    <x v="4"/>
    <d v="2024-01-05T00:00:00"/>
    <x v="0"/>
    <s v="Arjun Kapoor"/>
    <n v="57"/>
    <x v="0"/>
    <x v="0"/>
    <x v="4"/>
    <x v="2"/>
    <x v="4"/>
    <x v="4"/>
    <n v="10"/>
    <n v="328"/>
    <x v="4"/>
    <x v="1"/>
    <x v="3"/>
    <n v="5"/>
    <s v="Yes"/>
  </r>
  <r>
    <n v="6"/>
    <x v="5"/>
    <d v="2024-01-06T00:00:00"/>
    <x v="0"/>
    <s v="Aarav Agarwal"/>
    <n v="51"/>
    <x v="0"/>
    <x v="1"/>
    <x v="1"/>
    <x v="0"/>
    <x v="1"/>
    <x v="1"/>
    <n v="6"/>
    <n v="26994"/>
    <x v="5"/>
    <x v="1"/>
    <x v="0"/>
    <n v="2"/>
    <s v="No"/>
  </r>
  <r>
    <n v="7"/>
    <x v="6"/>
    <d v="2024-01-07T00:00:00"/>
    <x v="0"/>
    <s v="Sneha Sharma"/>
    <n v="56"/>
    <x v="0"/>
    <x v="1"/>
    <x v="4"/>
    <x v="2"/>
    <x v="2"/>
    <x v="2"/>
    <n v="9"/>
    <n v="43387"/>
    <x v="6"/>
    <x v="1"/>
    <x v="1"/>
    <n v="5"/>
    <s v="No"/>
  </r>
  <r>
    <n v="8"/>
    <x v="7"/>
    <d v="2024-01-08T00:00:00"/>
    <x v="0"/>
    <s v="Raj Patel"/>
    <n v="57"/>
    <x v="0"/>
    <x v="0"/>
    <x v="0"/>
    <x v="2"/>
    <x v="4"/>
    <x v="5"/>
    <n v="9"/>
    <n v="134"/>
    <x v="7"/>
    <x v="2"/>
    <x v="4"/>
    <n v="3"/>
    <s v="Yes"/>
  </r>
  <r>
    <n v="9"/>
    <x v="8"/>
    <d v="2024-01-09T00:00:00"/>
    <x v="0"/>
    <s v="Meera Reddy"/>
    <n v="60"/>
    <x v="0"/>
    <x v="1"/>
    <x v="5"/>
    <x v="3"/>
    <x v="0"/>
    <x v="0"/>
    <n v="5"/>
    <n v="33098"/>
    <x v="8"/>
    <x v="2"/>
    <x v="4"/>
    <n v="1"/>
    <s v="No"/>
  </r>
  <r>
    <n v="10"/>
    <x v="9"/>
    <d v="2024-01-10T00:00:00"/>
    <x v="0"/>
    <s v="Raj Sen"/>
    <n v="53"/>
    <x v="0"/>
    <x v="0"/>
    <x v="1"/>
    <x v="2"/>
    <x v="4"/>
    <x v="5"/>
    <n v="6"/>
    <n v="994"/>
    <x v="9"/>
    <x v="0"/>
    <x v="5"/>
    <n v="5"/>
    <s v="Yes"/>
  </r>
  <r>
    <n v="11"/>
    <x v="10"/>
    <d v="2024-01-11T00:00:00"/>
    <x v="0"/>
    <s v="Vikram Patel"/>
    <n v="48"/>
    <x v="1"/>
    <x v="0"/>
    <x v="6"/>
    <x v="1"/>
    <x v="2"/>
    <x v="6"/>
    <n v="5"/>
    <n v="6397"/>
    <x v="10"/>
    <x v="0"/>
    <x v="3"/>
    <n v="5"/>
    <s v="Yes"/>
  </r>
  <r>
    <n v="12"/>
    <x v="11"/>
    <d v="2024-01-12T00:00:00"/>
    <x v="0"/>
    <s v="Arjun Sharma"/>
    <n v="44"/>
    <x v="1"/>
    <x v="0"/>
    <x v="6"/>
    <x v="2"/>
    <x v="4"/>
    <x v="7"/>
    <n v="4"/>
    <n v="477"/>
    <x v="11"/>
    <x v="1"/>
    <x v="6"/>
    <n v="3"/>
    <s v="Yes"/>
  </r>
  <r>
    <n v="13"/>
    <x v="12"/>
    <d v="2024-01-13T00:00:00"/>
    <x v="0"/>
    <s v="Meera Gupta"/>
    <n v="56"/>
    <x v="0"/>
    <x v="1"/>
    <x v="5"/>
    <x v="3"/>
    <x v="0"/>
    <x v="8"/>
    <n v="9"/>
    <n v="28846"/>
    <x v="12"/>
    <x v="0"/>
    <x v="7"/>
    <n v="2"/>
    <s v="No"/>
  </r>
  <r>
    <n v="14"/>
    <x v="13"/>
    <d v="2024-01-14T00:00:00"/>
    <x v="0"/>
    <s v="Priya Verma"/>
    <n v="23"/>
    <x v="2"/>
    <x v="1"/>
    <x v="7"/>
    <x v="1"/>
    <x v="2"/>
    <x v="9"/>
    <n v="10"/>
    <n v="37727"/>
    <x v="13"/>
    <x v="0"/>
    <x v="6"/>
    <n v="1"/>
    <s v="Yes"/>
  </r>
  <r>
    <n v="15"/>
    <x v="14"/>
    <d v="2024-01-15T00:00:00"/>
    <x v="0"/>
    <s v="Kavya Agarwal"/>
    <n v="58"/>
    <x v="0"/>
    <x v="1"/>
    <x v="2"/>
    <x v="3"/>
    <x v="4"/>
    <x v="4"/>
    <n v="10"/>
    <n v="1278"/>
    <x v="14"/>
    <x v="2"/>
    <x v="1"/>
    <n v="2"/>
    <s v="No"/>
  </r>
  <r>
    <n v="16"/>
    <x v="15"/>
    <d v="2024-01-16T00:00:00"/>
    <x v="0"/>
    <s v="Manish Singh"/>
    <n v="59"/>
    <x v="0"/>
    <x v="1"/>
    <x v="2"/>
    <x v="2"/>
    <x v="4"/>
    <x v="10"/>
    <n v="10"/>
    <n v="1468"/>
    <x v="15"/>
    <x v="0"/>
    <x v="0"/>
    <n v="3"/>
    <s v="No"/>
  </r>
  <r>
    <n v="17"/>
    <x v="16"/>
    <d v="2024-01-17T00:00:00"/>
    <x v="0"/>
    <s v="Vikram Gupta"/>
    <n v="54"/>
    <x v="0"/>
    <x v="1"/>
    <x v="6"/>
    <x v="2"/>
    <x v="1"/>
    <x v="11"/>
    <n v="6"/>
    <n v="5884"/>
    <x v="16"/>
    <x v="0"/>
    <x v="0"/>
    <n v="2"/>
    <s v="Yes"/>
  </r>
  <r>
    <n v="18"/>
    <x v="17"/>
    <d v="2024-01-18T00:00:00"/>
    <x v="0"/>
    <s v="Raj Sen"/>
    <n v="20"/>
    <x v="2"/>
    <x v="1"/>
    <x v="3"/>
    <x v="3"/>
    <x v="3"/>
    <x v="12"/>
    <n v="7"/>
    <n v="46193"/>
    <x v="17"/>
    <x v="0"/>
    <x v="0"/>
    <n v="5"/>
    <s v="Yes"/>
  </r>
  <r>
    <n v="19"/>
    <x v="18"/>
    <d v="2024-01-19T00:00:00"/>
    <x v="0"/>
    <s v="Divya Singh"/>
    <n v="47"/>
    <x v="1"/>
    <x v="0"/>
    <x v="2"/>
    <x v="1"/>
    <x v="0"/>
    <x v="13"/>
    <n v="5"/>
    <n v="19071"/>
    <x v="18"/>
    <x v="0"/>
    <x v="2"/>
    <n v="2"/>
    <s v="No"/>
  </r>
  <r>
    <n v="20"/>
    <x v="19"/>
    <d v="2024-01-20T00:00:00"/>
    <x v="0"/>
    <s v="Ravi Singh"/>
    <n v="39"/>
    <x v="1"/>
    <x v="1"/>
    <x v="6"/>
    <x v="3"/>
    <x v="2"/>
    <x v="14"/>
    <n v="1"/>
    <n v="39128"/>
    <x v="19"/>
    <x v="1"/>
    <x v="8"/>
    <n v="5"/>
    <s v="Yes"/>
  </r>
  <r>
    <n v="21"/>
    <x v="20"/>
    <d v="2024-01-21T00:00:00"/>
    <x v="0"/>
    <s v="Kavya Verma"/>
    <n v="44"/>
    <x v="1"/>
    <x v="0"/>
    <x v="1"/>
    <x v="2"/>
    <x v="2"/>
    <x v="14"/>
    <n v="1"/>
    <n v="28473"/>
    <x v="20"/>
    <x v="3"/>
    <x v="4"/>
    <n v="1"/>
    <s v="Yes"/>
  </r>
  <r>
    <n v="22"/>
    <x v="21"/>
    <d v="2024-01-22T00:00:00"/>
    <x v="0"/>
    <s v="Priya Mehta"/>
    <n v="33"/>
    <x v="1"/>
    <x v="0"/>
    <x v="8"/>
    <x v="2"/>
    <x v="4"/>
    <x v="7"/>
    <n v="8"/>
    <n v="1198"/>
    <x v="21"/>
    <x v="2"/>
    <x v="9"/>
    <n v="4"/>
    <s v="No"/>
  </r>
  <r>
    <n v="23"/>
    <x v="22"/>
    <d v="2024-01-23T00:00:00"/>
    <x v="0"/>
    <s v="Priya Iyer"/>
    <n v="46"/>
    <x v="1"/>
    <x v="0"/>
    <x v="5"/>
    <x v="2"/>
    <x v="0"/>
    <x v="13"/>
    <n v="5"/>
    <n v="10618"/>
    <x v="22"/>
    <x v="1"/>
    <x v="0"/>
    <n v="3"/>
    <s v="No"/>
  </r>
  <r>
    <n v="24"/>
    <x v="23"/>
    <d v="2024-01-24T00:00:00"/>
    <x v="0"/>
    <s v="Sneha Chopra"/>
    <n v="32"/>
    <x v="1"/>
    <x v="0"/>
    <x v="1"/>
    <x v="0"/>
    <x v="4"/>
    <x v="4"/>
    <n v="10"/>
    <n v="1138"/>
    <x v="23"/>
    <x v="3"/>
    <x v="4"/>
    <n v="2"/>
    <s v="No"/>
  </r>
  <r>
    <n v="25"/>
    <x v="24"/>
    <d v="2024-01-25T00:00:00"/>
    <x v="0"/>
    <s v="Neha Kapoor"/>
    <n v="21"/>
    <x v="2"/>
    <x v="0"/>
    <x v="5"/>
    <x v="2"/>
    <x v="2"/>
    <x v="14"/>
    <n v="9"/>
    <n v="30239"/>
    <x v="24"/>
    <x v="2"/>
    <x v="4"/>
    <n v="5"/>
    <s v="Yes"/>
  </r>
  <r>
    <n v="26"/>
    <x v="25"/>
    <d v="2024-01-26T00:00:00"/>
    <x v="0"/>
    <s v="Raj Ghosh"/>
    <n v="55"/>
    <x v="0"/>
    <x v="1"/>
    <x v="8"/>
    <x v="1"/>
    <x v="4"/>
    <x v="15"/>
    <n v="7"/>
    <n v="963"/>
    <x v="25"/>
    <x v="3"/>
    <x v="5"/>
    <n v="2"/>
    <s v="Yes"/>
  </r>
  <r>
    <n v="27"/>
    <x v="26"/>
    <d v="2024-01-27T00:00:00"/>
    <x v="0"/>
    <s v="Sanya Agarwal"/>
    <n v="46"/>
    <x v="1"/>
    <x v="0"/>
    <x v="1"/>
    <x v="1"/>
    <x v="3"/>
    <x v="3"/>
    <n v="1"/>
    <n v="15444"/>
    <x v="26"/>
    <x v="3"/>
    <x v="9"/>
    <n v="1"/>
    <s v="No"/>
  </r>
  <r>
    <n v="28"/>
    <x v="27"/>
    <d v="2024-01-28T00:00:00"/>
    <x v="0"/>
    <s v="Vikram Sen"/>
    <n v="52"/>
    <x v="0"/>
    <x v="1"/>
    <x v="8"/>
    <x v="3"/>
    <x v="3"/>
    <x v="12"/>
    <n v="10"/>
    <n v="48036"/>
    <x v="27"/>
    <x v="4"/>
    <x v="1"/>
    <n v="4"/>
    <s v="Yes"/>
  </r>
  <r>
    <n v="29"/>
    <x v="28"/>
    <d v="2024-01-29T00:00:00"/>
    <x v="0"/>
    <s v="Priya Iyer"/>
    <n v="27"/>
    <x v="2"/>
    <x v="0"/>
    <x v="7"/>
    <x v="2"/>
    <x v="2"/>
    <x v="6"/>
    <n v="10"/>
    <n v="16100"/>
    <x v="28"/>
    <x v="4"/>
    <x v="6"/>
    <n v="5"/>
    <s v="No"/>
  </r>
  <r>
    <n v="30"/>
    <x v="29"/>
    <d v="2024-01-30T00:00:00"/>
    <x v="0"/>
    <s v="Arjun Singh"/>
    <n v="23"/>
    <x v="2"/>
    <x v="0"/>
    <x v="9"/>
    <x v="1"/>
    <x v="3"/>
    <x v="16"/>
    <n v="5"/>
    <n v="25133"/>
    <x v="29"/>
    <x v="0"/>
    <x v="6"/>
    <n v="4"/>
    <s v="No"/>
  </r>
  <r>
    <n v="31"/>
    <x v="30"/>
    <d v="2024-01-31T00:00:00"/>
    <x v="0"/>
    <s v="Neha Verma"/>
    <n v="52"/>
    <x v="0"/>
    <x v="0"/>
    <x v="2"/>
    <x v="2"/>
    <x v="0"/>
    <x v="17"/>
    <n v="4"/>
    <n v="1772"/>
    <x v="30"/>
    <x v="4"/>
    <x v="2"/>
    <n v="4"/>
    <s v="Yes"/>
  </r>
  <r>
    <n v="32"/>
    <x v="31"/>
    <d v="2024-02-01T00:00:00"/>
    <x v="1"/>
    <s v="Arjun Agarwal"/>
    <n v="36"/>
    <x v="1"/>
    <x v="1"/>
    <x v="9"/>
    <x v="2"/>
    <x v="2"/>
    <x v="2"/>
    <n v="4"/>
    <n v="21327"/>
    <x v="31"/>
    <x v="0"/>
    <x v="4"/>
    <n v="3"/>
    <s v="Yes"/>
  </r>
  <r>
    <n v="33"/>
    <x v="32"/>
    <d v="2024-02-02T00:00:00"/>
    <x v="1"/>
    <s v="Sanya Sharma"/>
    <n v="53"/>
    <x v="0"/>
    <x v="1"/>
    <x v="4"/>
    <x v="0"/>
    <x v="0"/>
    <x v="17"/>
    <n v="9"/>
    <n v="1024"/>
    <x v="32"/>
    <x v="3"/>
    <x v="3"/>
    <n v="4"/>
    <s v="No"/>
  </r>
  <r>
    <n v="34"/>
    <x v="33"/>
    <d v="2024-02-03T00:00:00"/>
    <x v="1"/>
    <s v="Aditya Chopra"/>
    <n v="39"/>
    <x v="1"/>
    <x v="0"/>
    <x v="2"/>
    <x v="3"/>
    <x v="4"/>
    <x v="15"/>
    <n v="7"/>
    <n v="1441"/>
    <x v="33"/>
    <x v="2"/>
    <x v="3"/>
    <n v="1"/>
    <s v="Yes"/>
  </r>
  <r>
    <n v="35"/>
    <x v="34"/>
    <d v="2024-02-04T00:00:00"/>
    <x v="1"/>
    <s v="Rohan Nair"/>
    <n v="54"/>
    <x v="0"/>
    <x v="1"/>
    <x v="0"/>
    <x v="0"/>
    <x v="0"/>
    <x v="8"/>
    <n v="9"/>
    <n v="42897"/>
    <x v="34"/>
    <x v="0"/>
    <x v="6"/>
    <n v="2"/>
    <s v="No"/>
  </r>
  <r>
    <n v="36"/>
    <x v="35"/>
    <d v="2024-02-05T00:00:00"/>
    <x v="1"/>
    <s v="Meera Sharma"/>
    <n v="43"/>
    <x v="1"/>
    <x v="0"/>
    <x v="8"/>
    <x v="2"/>
    <x v="2"/>
    <x v="18"/>
    <n v="4"/>
    <n v="2047"/>
    <x v="35"/>
    <x v="1"/>
    <x v="0"/>
    <n v="3"/>
    <s v="Yes"/>
  </r>
  <r>
    <n v="37"/>
    <x v="36"/>
    <d v="2024-02-06T00:00:00"/>
    <x v="1"/>
    <s v="Ravi Verma"/>
    <n v="36"/>
    <x v="1"/>
    <x v="0"/>
    <x v="2"/>
    <x v="0"/>
    <x v="0"/>
    <x v="0"/>
    <n v="5"/>
    <n v="22683"/>
    <x v="36"/>
    <x v="0"/>
    <x v="7"/>
    <n v="5"/>
    <s v="No"/>
  </r>
  <r>
    <n v="38"/>
    <x v="37"/>
    <d v="2024-02-07T00:00:00"/>
    <x v="1"/>
    <s v="Arjun Patel"/>
    <n v="23"/>
    <x v="2"/>
    <x v="1"/>
    <x v="0"/>
    <x v="1"/>
    <x v="2"/>
    <x v="6"/>
    <n v="5"/>
    <n v="15231"/>
    <x v="37"/>
    <x v="4"/>
    <x v="6"/>
    <n v="4"/>
    <s v="Yes"/>
  </r>
  <r>
    <n v="39"/>
    <x v="38"/>
    <d v="2024-02-08T00:00:00"/>
    <x v="1"/>
    <s v="Aditya Mehta"/>
    <n v="59"/>
    <x v="0"/>
    <x v="1"/>
    <x v="8"/>
    <x v="2"/>
    <x v="3"/>
    <x v="16"/>
    <n v="2"/>
    <n v="19920"/>
    <x v="38"/>
    <x v="0"/>
    <x v="4"/>
    <n v="4"/>
    <s v="No"/>
  </r>
  <r>
    <n v="40"/>
    <x v="39"/>
    <d v="2024-02-09T00:00:00"/>
    <x v="1"/>
    <s v="Ananya Bhatia"/>
    <n v="20"/>
    <x v="2"/>
    <x v="1"/>
    <x v="1"/>
    <x v="3"/>
    <x v="2"/>
    <x v="18"/>
    <n v="6"/>
    <n v="15280"/>
    <x v="39"/>
    <x v="4"/>
    <x v="7"/>
    <n v="3"/>
    <s v="Yes"/>
  </r>
  <r>
    <n v="41"/>
    <x v="40"/>
    <d v="2024-02-10T00:00:00"/>
    <x v="1"/>
    <s v="Neha Kapoor"/>
    <n v="21"/>
    <x v="2"/>
    <x v="0"/>
    <x v="4"/>
    <x v="3"/>
    <x v="1"/>
    <x v="1"/>
    <n v="4"/>
    <n v="35010"/>
    <x v="40"/>
    <x v="0"/>
    <x v="9"/>
    <n v="2"/>
    <s v="Yes"/>
  </r>
  <r>
    <n v="42"/>
    <x v="41"/>
    <d v="2024-02-11T00:00:00"/>
    <x v="1"/>
    <s v="Sanya Sen"/>
    <n v="46"/>
    <x v="1"/>
    <x v="0"/>
    <x v="3"/>
    <x v="0"/>
    <x v="0"/>
    <x v="13"/>
    <n v="5"/>
    <n v="49504"/>
    <x v="41"/>
    <x v="3"/>
    <x v="9"/>
    <n v="1"/>
    <s v="Yes"/>
  </r>
  <r>
    <n v="43"/>
    <x v="42"/>
    <d v="2024-02-12T00:00:00"/>
    <x v="1"/>
    <s v="Manish Reddy"/>
    <n v="27"/>
    <x v="2"/>
    <x v="1"/>
    <x v="8"/>
    <x v="0"/>
    <x v="2"/>
    <x v="9"/>
    <n v="7"/>
    <n v="10011"/>
    <x v="42"/>
    <x v="4"/>
    <x v="8"/>
    <n v="2"/>
    <s v="No"/>
  </r>
  <r>
    <n v="44"/>
    <x v="43"/>
    <d v="2024-02-13T00:00:00"/>
    <x v="1"/>
    <s v="Pooja Sharma"/>
    <n v="18"/>
    <x v="2"/>
    <x v="1"/>
    <x v="2"/>
    <x v="3"/>
    <x v="1"/>
    <x v="1"/>
    <n v="3"/>
    <n v="5968"/>
    <x v="43"/>
    <x v="4"/>
    <x v="3"/>
    <n v="5"/>
    <s v="Yes"/>
  </r>
  <r>
    <n v="45"/>
    <x v="44"/>
    <d v="2024-02-14T00:00:00"/>
    <x v="1"/>
    <s v="Aarav Kapoor"/>
    <n v="19"/>
    <x v="2"/>
    <x v="0"/>
    <x v="5"/>
    <x v="1"/>
    <x v="1"/>
    <x v="19"/>
    <n v="9"/>
    <n v="24909"/>
    <x v="44"/>
    <x v="2"/>
    <x v="5"/>
    <n v="2"/>
    <s v="Yes"/>
  </r>
  <r>
    <n v="46"/>
    <x v="45"/>
    <d v="2024-02-15T00:00:00"/>
    <x v="1"/>
    <s v="Kunal Agarwal"/>
    <n v="41"/>
    <x v="1"/>
    <x v="1"/>
    <x v="6"/>
    <x v="1"/>
    <x v="3"/>
    <x v="12"/>
    <n v="3"/>
    <n v="35275"/>
    <x v="45"/>
    <x v="4"/>
    <x v="3"/>
    <n v="1"/>
    <s v="Yes"/>
  </r>
  <r>
    <n v="47"/>
    <x v="46"/>
    <d v="2024-02-16T00:00:00"/>
    <x v="1"/>
    <s v="Kavya Ghosh"/>
    <n v="60"/>
    <x v="0"/>
    <x v="0"/>
    <x v="6"/>
    <x v="2"/>
    <x v="1"/>
    <x v="1"/>
    <n v="5"/>
    <n v="47105"/>
    <x v="46"/>
    <x v="0"/>
    <x v="8"/>
    <n v="1"/>
    <s v="No"/>
  </r>
  <r>
    <n v="48"/>
    <x v="47"/>
    <d v="2024-02-17T00:00:00"/>
    <x v="1"/>
    <s v="Sanya Mehta"/>
    <n v="19"/>
    <x v="2"/>
    <x v="1"/>
    <x v="8"/>
    <x v="0"/>
    <x v="1"/>
    <x v="20"/>
    <n v="4"/>
    <n v="15472"/>
    <x v="47"/>
    <x v="1"/>
    <x v="5"/>
    <n v="1"/>
    <s v="No"/>
  </r>
  <r>
    <n v="49"/>
    <x v="48"/>
    <d v="2024-02-18T00:00:00"/>
    <x v="1"/>
    <s v="Divya Malhotra"/>
    <n v="55"/>
    <x v="0"/>
    <x v="0"/>
    <x v="0"/>
    <x v="3"/>
    <x v="1"/>
    <x v="19"/>
    <n v="2"/>
    <n v="11990"/>
    <x v="48"/>
    <x v="1"/>
    <x v="2"/>
    <n v="2"/>
    <s v="No"/>
  </r>
  <r>
    <n v="50"/>
    <x v="49"/>
    <d v="2024-02-19T00:00:00"/>
    <x v="1"/>
    <s v="Manish Jain"/>
    <n v="41"/>
    <x v="1"/>
    <x v="0"/>
    <x v="9"/>
    <x v="0"/>
    <x v="4"/>
    <x v="5"/>
    <n v="9"/>
    <n v="1066"/>
    <x v="49"/>
    <x v="4"/>
    <x v="7"/>
    <n v="5"/>
    <s v="No"/>
  </r>
  <r>
    <n v="51"/>
    <x v="50"/>
    <d v="2024-02-20T00:00:00"/>
    <x v="1"/>
    <s v="Neha Reddy"/>
    <n v="36"/>
    <x v="1"/>
    <x v="1"/>
    <x v="2"/>
    <x v="2"/>
    <x v="1"/>
    <x v="11"/>
    <n v="9"/>
    <n v="48625"/>
    <x v="50"/>
    <x v="3"/>
    <x v="8"/>
    <n v="5"/>
    <s v="Yes"/>
  </r>
  <r>
    <n v="52"/>
    <x v="51"/>
    <d v="2024-02-21T00:00:00"/>
    <x v="1"/>
    <s v="Aditya Gupta"/>
    <n v="40"/>
    <x v="1"/>
    <x v="1"/>
    <x v="4"/>
    <x v="3"/>
    <x v="2"/>
    <x v="18"/>
    <n v="7"/>
    <n v="26415"/>
    <x v="51"/>
    <x v="0"/>
    <x v="2"/>
    <n v="3"/>
    <s v="Yes"/>
  </r>
  <r>
    <n v="53"/>
    <x v="52"/>
    <d v="2024-02-22T00:00:00"/>
    <x v="1"/>
    <s v="Ananya Malhotra"/>
    <n v="52"/>
    <x v="0"/>
    <x v="0"/>
    <x v="6"/>
    <x v="3"/>
    <x v="1"/>
    <x v="1"/>
    <n v="10"/>
    <n v="48252"/>
    <x v="52"/>
    <x v="1"/>
    <x v="4"/>
    <n v="4"/>
    <s v="Yes"/>
  </r>
  <r>
    <n v="54"/>
    <x v="53"/>
    <d v="2024-02-23T00:00:00"/>
    <x v="1"/>
    <s v="Kunal Chopra"/>
    <n v="23"/>
    <x v="2"/>
    <x v="1"/>
    <x v="4"/>
    <x v="3"/>
    <x v="1"/>
    <x v="21"/>
    <n v="2"/>
    <n v="15058"/>
    <x v="53"/>
    <x v="2"/>
    <x v="1"/>
    <n v="4"/>
    <s v="Yes"/>
  </r>
  <r>
    <n v="55"/>
    <x v="54"/>
    <d v="2024-02-24T00:00:00"/>
    <x v="1"/>
    <s v="Kunal Mehta"/>
    <n v="41"/>
    <x v="1"/>
    <x v="1"/>
    <x v="9"/>
    <x v="2"/>
    <x v="2"/>
    <x v="14"/>
    <n v="9"/>
    <n v="49390"/>
    <x v="54"/>
    <x v="1"/>
    <x v="8"/>
    <n v="5"/>
    <s v="Yes"/>
  </r>
  <r>
    <n v="56"/>
    <x v="55"/>
    <d v="2024-02-25T00:00:00"/>
    <x v="1"/>
    <s v="Ananya Roy"/>
    <n v="48"/>
    <x v="1"/>
    <x v="1"/>
    <x v="8"/>
    <x v="3"/>
    <x v="3"/>
    <x v="22"/>
    <n v="10"/>
    <n v="25122"/>
    <x v="55"/>
    <x v="3"/>
    <x v="3"/>
    <n v="4"/>
    <s v="No"/>
  </r>
  <r>
    <n v="57"/>
    <x v="56"/>
    <d v="2024-02-26T00:00:00"/>
    <x v="1"/>
    <s v="Ananya Patel"/>
    <n v="20"/>
    <x v="2"/>
    <x v="0"/>
    <x v="5"/>
    <x v="0"/>
    <x v="1"/>
    <x v="19"/>
    <n v="7"/>
    <n v="47599"/>
    <x v="56"/>
    <x v="1"/>
    <x v="6"/>
    <n v="3"/>
    <s v="No"/>
  </r>
  <r>
    <n v="58"/>
    <x v="57"/>
    <d v="2024-02-27T00:00:00"/>
    <x v="1"/>
    <s v="Sneha Reddy"/>
    <n v="38"/>
    <x v="1"/>
    <x v="0"/>
    <x v="2"/>
    <x v="0"/>
    <x v="2"/>
    <x v="2"/>
    <n v="3"/>
    <n v="43673"/>
    <x v="57"/>
    <x v="4"/>
    <x v="3"/>
    <n v="3"/>
    <s v="No"/>
  </r>
  <r>
    <n v="59"/>
    <x v="58"/>
    <d v="2024-02-28T00:00:00"/>
    <x v="1"/>
    <s v="Tanvi Reddy"/>
    <n v="53"/>
    <x v="0"/>
    <x v="0"/>
    <x v="7"/>
    <x v="2"/>
    <x v="2"/>
    <x v="14"/>
    <n v="2"/>
    <n v="23111"/>
    <x v="58"/>
    <x v="3"/>
    <x v="7"/>
    <n v="3"/>
    <s v="Yes"/>
  </r>
  <r>
    <n v="60"/>
    <x v="59"/>
    <d v="2024-02-29T00:00:00"/>
    <x v="1"/>
    <s v="Manish Agarwal"/>
    <n v="31"/>
    <x v="1"/>
    <x v="1"/>
    <x v="2"/>
    <x v="3"/>
    <x v="2"/>
    <x v="2"/>
    <n v="2"/>
    <n v="33370"/>
    <x v="59"/>
    <x v="1"/>
    <x v="3"/>
    <n v="5"/>
    <s v="Yes"/>
  </r>
  <r>
    <n v="61"/>
    <x v="60"/>
    <d v="2024-03-01T00:00:00"/>
    <x v="2"/>
    <s v="Manish Malhotra"/>
    <n v="26"/>
    <x v="2"/>
    <x v="0"/>
    <x v="5"/>
    <x v="1"/>
    <x v="0"/>
    <x v="23"/>
    <n v="2"/>
    <n v="291"/>
    <x v="60"/>
    <x v="1"/>
    <x v="9"/>
    <n v="3"/>
    <s v="No"/>
  </r>
  <r>
    <n v="62"/>
    <x v="61"/>
    <d v="2024-03-02T00:00:00"/>
    <x v="2"/>
    <s v="Ishita Gupta"/>
    <n v="43"/>
    <x v="1"/>
    <x v="0"/>
    <x v="9"/>
    <x v="1"/>
    <x v="1"/>
    <x v="20"/>
    <n v="9"/>
    <n v="41135"/>
    <x v="61"/>
    <x v="1"/>
    <x v="3"/>
    <n v="1"/>
    <s v="No"/>
  </r>
  <r>
    <n v="63"/>
    <x v="62"/>
    <d v="2024-03-03T00:00:00"/>
    <x v="2"/>
    <s v="Sanya Verma"/>
    <n v="55"/>
    <x v="0"/>
    <x v="1"/>
    <x v="9"/>
    <x v="0"/>
    <x v="2"/>
    <x v="14"/>
    <n v="6"/>
    <n v="38218"/>
    <x v="62"/>
    <x v="2"/>
    <x v="2"/>
    <n v="4"/>
    <s v="Yes"/>
  </r>
  <r>
    <n v="64"/>
    <x v="63"/>
    <d v="2024-03-04T00:00:00"/>
    <x v="2"/>
    <s v="Pooja Chopra"/>
    <n v="56"/>
    <x v="0"/>
    <x v="1"/>
    <x v="5"/>
    <x v="1"/>
    <x v="4"/>
    <x v="5"/>
    <n v="3"/>
    <n v="1615"/>
    <x v="63"/>
    <x v="1"/>
    <x v="6"/>
    <n v="3"/>
    <s v="Yes"/>
  </r>
  <r>
    <n v="65"/>
    <x v="64"/>
    <d v="2024-03-05T00:00:00"/>
    <x v="2"/>
    <s v="Raj Bose"/>
    <n v="47"/>
    <x v="1"/>
    <x v="0"/>
    <x v="8"/>
    <x v="3"/>
    <x v="3"/>
    <x v="22"/>
    <n v="3"/>
    <n v="49498"/>
    <x v="64"/>
    <x v="3"/>
    <x v="0"/>
    <n v="3"/>
    <s v="No"/>
  </r>
  <r>
    <n v="66"/>
    <x v="65"/>
    <d v="2024-03-06T00:00:00"/>
    <x v="2"/>
    <s v="Manish Agarwal"/>
    <n v="55"/>
    <x v="0"/>
    <x v="1"/>
    <x v="6"/>
    <x v="0"/>
    <x v="3"/>
    <x v="16"/>
    <n v="1"/>
    <n v="11101"/>
    <x v="65"/>
    <x v="1"/>
    <x v="4"/>
    <n v="5"/>
    <s v="No"/>
  </r>
  <r>
    <n v="67"/>
    <x v="66"/>
    <d v="2024-03-07T00:00:00"/>
    <x v="2"/>
    <s v="Priya Sharma"/>
    <n v="52"/>
    <x v="0"/>
    <x v="1"/>
    <x v="6"/>
    <x v="0"/>
    <x v="1"/>
    <x v="11"/>
    <n v="2"/>
    <n v="4843"/>
    <x v="66"/>
    <x v="4"/>
    <x v="8"/>
    <n v="5"/>
    <s v="No"/>
  </r>
  <r>
    <n v="68"/>
    <x v="67"/>
    <d v="2024-03-08T00:00:00"/>
    <x v="2"/>
    <s v="Rohan Singh"/>
    <n v="37"/>
    <x v="1"/>
    <x v="0"/>
    <x v="9"/>
    <x v="2"/>
    <x v="1"/>
    <x v="11"/>
    <n v="5"/>
    <n v="22569"/>
    <x v="67"/>
    <x v="4"/>
    <x v="7"/>
    <n v="2"/>
    <s v="Yes"/>
  </r>
  <r>
    <n v="69"/>
    <x v="68"/>
    <d v="2024-03-09T00:00:00"/>
    <x v="2"/>
    <s v="Arjun Mehta"/>
    <n v="33"/>
    <x v="1"/>
    <x v="0"/>
    <x v="9"/>
    <x v="2"/>
    <x v="2"/>
    <x v="2"/>
    <n v="1"/>
    <n v="42118"/>
    <x v="68"/>
    <x v="1"/>
    <x v="6"/>
    <n v="5"/>
    <s v="No"/>
  </r>
  <r>
    <n v="70"/>
    <x v="69"/>
    <d v="2024-03-10T00:00:00"/>
    <x v="2"/>
    <s v="Kunal Mehta"/>
    <n v="50"/>
    <x v="0"/>
    <x v="1"/>
    <x v="5"/>
    <x v="0"/>
    <x v="0"/>
    <x v="17"/>
    <n v="10"/>
    <n v="4653"/>
    <x v="69"/>
    <x v="4"/>
    <x v="2"/>
    <n v="1"/>
    <s v="Yes"/>
  </r>
  <r>
    <n v="71"/>
    <x v="70"/>
    <d v="2024-03-11T00:00:00"/>
    <x v="2"/>
    <s v="Sneha Gupta"/>
    <n v="51"/>
    <x v="0"/>
    <x v="1"/>
    <x v="1"/>
    <x v="1"/>
    <x v="0"/>
    <x v="17"/>
    <n v="10"/>
    <n v="49524"/>
    <x v="70"/>
    <x v="4"/>
    <x v="5"/>
    <n v="3"/>
    <s v="No"/>
  </r>
  <r>
    <n v="72"/>
    <x v="71"/>
    <d v="2024-03-12T00:00:00"/>
    <x v="2"/>
    <s v="Kavya Sharma"/>
    <n v="18"/>
    <x v="2"/>
    <x v="1"/>
    <x v="4"/>
    <x v="1"/>
    <x v="4"/>
    <x v="4"/>
    <n v="5"/>
    <n v="1910"/>
    <x v="71"/>
    <x v="2"/>
    <x v="0"/>
    <n v="4"/>
    <s v="Yes"/>
  </r>
  <r>
    <n v="73"/>
    <x v="72"/>
    <d v="2024-03-13T00:00:00"/>
    <x v="2"/>
    <s v="Rohan Singh"/>
    <n v="35"/>
    <x v="1"/>
    <x v="1"/>
    <x v="5"/>
    <x v="3"/>
    <x v="0"/>
    <x v="0"/>
    <n v="3"/>
    <n v="48777"/>
    <x v="72"/>
    <x v="0"/>
    <x v="5"/>
    <n v="4"/>
    <s v="Yes"/>
  </r>
  <r>
    <n v="74"/>
    <x v="73"/>
    <d v="2024-03-14T00:00:00"/>
    <x v="2"/>
    <s v="Raj Chopra"/>
    <n v="56"/>
    <x v="0"/>
    <x v="1"/>
    <x v="2"/>
    <x v="1"/>
    <x v="3"/>
    <x v="3"/>
    <n v="4"/>
    <n v="31617"/>
    <x v="73"/>
    <x v="4"/>
    <x v="3"/>
    <n v="3"/>
    <s v="Yes"/>
  </r>
  <r>
    <n v="75"/>
    <x v="74"/>
    <d v="2024-03-15T00:00:00"/>
    <x v="2"/>
    <s v="Ishita Jain"/>
    <n v="45"/>
    <x v="1"/>
    <x v="1"/>
    <x v="0"/>
    <x v="2"/>
    <x v="0"/>
    <x v="17"/>
    <n v="1"/>
    <n v="13762"/>
    <x v="74"/>
    <x v="4"/>
    <x v="6"/>
    <n v="1"/>
    <s v="No"/>
  </r>
  <r>
    <n v="76"/>
    <x v="75"/>
    <d v="2024-03-16T00:00:00"/>
    <x v="2"/>
    <s v="Aditya Roy"/>
    <n v="21"/>
    <x v="2"/>
    <x v="1"/>
    <x v="6"/>
    <x v="0"/>
    <x v="1"/>
    <x v="20"/>
    <n v="3"/>
    <n v="46465"/>
    <x v="75"/>
    <x v="0"/>
    <x v="2"/>
    <n v="1"/>
    <s v="No"/>
  </r>
  <r>
    <n v="77"/>
    <x v="76"/>
    <d v="2024-03-17T00:00:00"/>
    <x v="2"/>
    <s v="Vikram Jain"/>
    <n v="24"/>
    <x v="2"/>
    <x v="0"/>
    <x v="3"/>
    <x v="2"/>
    <x v="3"/>
    <x v="3"/>
    <n v="9"/>
    <n v="19256"/>
    <x v="76"/>
    <x v="3"/>
    <x v="8"/>
    <n v="4"/>
    <s v="No"/>
  </r>
  <r>
    <n v="78"/>
    <x v="77"/>
    <d v="2024-03-18T00:00:00"/>
    <x v="2"/>
    <s v="Raj Roy"/>
    <n v="50"/>
    <x v="0"/>
    <x v="0"/>
    <x v="8"/>
    <x v="0"/>
    <x v="1"/>
    <x v="11"/>
    <n v="2"/>
    <n v="11172"/>
    <x v="77"/>
    <x v="2"/>
    <x v="2"/>
    <n v="5"/>
    <s v="No"/>
  </r>
  <r>
    <n v="79"/>
    <x v="78"/>
    <d v="2024-03-19T00:00:00"/>
    <x v="2"/>
    <s v="Ishita Patel"/>
    <n v="18"/>
    <x v="2"/>
    <x v="1"/>
    <x v="4"/>
    <x v="2"/>
    <x v="1"/>
    <x v="1"/>
    <n v="2"/>
    <n v="8663"/>
    <x v="78"/>
    <x v="2"/>
    <x v="2"/>
    <n v="4"/>
    <s v="Yes"/>
  </r>
  <r>
    <n v="80"/>
    <x v="79"/>
    <d v="2024-03-20T00:00:00"/>
    <x v="2"/>
    <s v="Priya Reddy"/>
    <n v="48"/>
    <x v="1"/>
    <x v="1"/>
    <x v="5"/>
    <x v="0"/>
    <x v="3"/>
    <x v="24"/>
    <n v="10"/>
    <n v="28630"/>
    <x v="79"/>
    <x v="4"/>
    <x v="2"/>
    <n v="2"/>
    <s v="Yes"/>
  </r>
  <r>
    <n v="81"/>
    <x v="80"/>
    <d v="2024-03-21T00:00:00"/>
    <x v="2"/>
    <s v="Ishita Jain"/>
    <n v="57"/>
    <x v="0"/>
    <x v="0"/>
    <x v="4"/>
    <x v="3"/>
    <x v="4"/>
    <x v="7"/>
    <n v="1"/>
    <n v="766"/>
    <x v="80"/>
    <x v="4"/>
    <x v="2"/>
    <n v="3"/>
    <s v="Yes"/>
  </r>
  <r>
    <n v="82"/>
    <x v="81"/>
    <d v="2024-03-22T00:00:00"/>
    <x v="2"/>
    <s v="Sneha Sen"/>
    <n v="52"/>
    <x v="0"/>
    <x v="1"/>
    <x v="4"/>
    <x v="2"/>
    <x v="2"/>
    <x v="9"/>
    <n v="9"/>
    <n v="14900"/>
    <x v="81"/>
    <x v="2"/>
    <x v="2"/>
    <n v="2"/>
    <s v="No"/>
  </r>
  <r>
    <n v="83"/>
    <x v="82"/>
    <d v="2024-03-23T00:00:00"/>
    <x v="2"/>
    <s v="Raj Malhotra"/>
    <n v="19"/>
    <x v="2"/>
    <x v="0"/>
    <x v="1"/>
    <x v="0"/>
    <x v="3"/>
    <x v="16"/>
    <n v="6"/>
    <n v="7354"/>
    <x v="82"/>
    <x v="3"/>
    <x v="5"/>
    <n v="4"/>
    <s v="Yes"/>
  </r>
  <r>
    <n v="84"/>
    <x v="83"/>
    <d v="2024-03-24T00:00:00"/>
    <x v="2"/>
    <s v="Vikram Verma"/>
    <n v="53"/>
    <x v="0"/>
    <x v="0"/>
    <x v="0"/>
    <x v="3"/>
    <x v="3"/>
    <x v="16"/>
    <n v="6"/>
    <n v="5541"/>
    <x v="83"/>
    <x v="2"/>
    <x v="4"/>
    <n v="3"/>
    <s v="No"/>
  </r>
  <r>
    <n v="85"/>
    <x v="84"/>
    <d v="2024-03-25T00:00:00"/>
    <x v="2"/>
    <s v="Tanvi Sharma"/>
    <n v="36"/>
    <x v="1"/>
    <x v="1"/>
    <x v="5"/>
    <x v="1"/>
    <x v="2"/>
    <x v="18"/>
    <n v="5"/>
    <n v="33976"/>
    <x v="84"/>
    <x v="0"/>
    <x v="5"/>
    <n v="4"/>
    <s v="No"/>
  </r>
  <r>
    <n v="86"/>
    <x v="85"/>
    <d v="2024-03-26T00:00:00"/>
    <x v="2"/>
    <s v="Sneha Jain"/>
    <n v="24"/>
    <x v="2"/>
    <x v="1"/>
    <x v="9"/>
    <x v="1"/>
    <x v="3"/>
    <x v="16"/>
    <n v="3"/>
    <n v="44148"/>
    <x v="85"/>
    <x v="1"/>
    <x v="1"/>
    <n v="1"/>
    <s v="Yes"/>
  </r>
  <r>
    <n v="87"/>
    <x v="86"/>
    <d v="2024-03-27T00:00:00"/>
    <x v="2"/>
    <s v="Ananya Chopra"/>
    <n v="30"/>
    <x v="1"/>
    <x v="0"/>
    <x v="2"/>
    <x v="3"/>
    <x v="3"/>
    <x v="12"/>
    <n v="5"/>
    <n v="6310"/>
    <x v="86"/>
    <x v="4"/>
    <x v="0"/>
    <n v="5"/>
    <s v="Yes"/>
  </r>
  <r>
    <n v="88"/>
    <x v="87"/>
    <d v="2024-03-28T00:00:00"/>
    <x v="2"/>
    <s v="Divya Agarwal"/>
    <n v="52"/>
    <x v="0"/>
    <x v="1"/>
    <x v="8"/>
    <x v="0"/>
    <x v="0"/>
    <x v="23"/>
    <n v="3"/>
    <n v="548"/>
    <x v="87"/>
    <x v="2"/>
    <x v="8"/>
    <n v="3"/>
    <s v="Yes"/>
  </r>
  <r>
    <n v="89"/>
    <x v="88"/>
    <d v="2024-03-29T00:00:00"/>
    <x v="2"/>
    <s v="Raj Singh"/>
    <n v="39"/>
    <x v="1"/>
    <x v="0"/>
    <x v="5"/>
    <x v="3"/>
    <x v="4"/>
    <x v="15"/>
    <n v="10"/>
    <n v="1401"/>
    <x v="88"/>
    <x v="0"/>
    <x v="4"/>
    <n v="4"/>
    <s v="No"/>
  </r>
  <r>
    <n v="90"/>
    <x v="89"/>
    <d v="2024-03-30T00:00:00"/>
    <x v="2"/>
    <s v="Divya Roy"/>
    <n v="46"/>
    <x v="1"/>
    <x v="0"/>
    <x v="0"/>
    <x v="3"/>
    <x v="1"/>
    <x v="19"/>
    <n v="9"/>
    <n v="25040"/>
    <x v="89"/>
    <x v="4"/>
    <x v="1"/>
    <n v="5"/>
    <s v="No"/>
  </r>
  <r>
    <n v="91"/>
    <x v="90"/>
    <d v="2024-03-31T00:00:00"/>
    <x v="2"/>
    <s v="Arjun Patel"/>
    <n v="46"/>
    <x v="1"/>
    <x v="0"/>
    <x v="9"/>
    <x v="0"/>
    <x v="0"/>
    <x v="17"/>
    <n v="7"/>
    <n v="24657"/>
    <x v="90"/>
    <x v="1"/>
    <x v="5"/>
    <n v="3"/>
    <s v="Yes"/>
  </r>
  <r>
    <n v="92"/>
    <x v="91"/>
    <d v="2024-04-01T00:00:00"/>
    <x v="3"/>
    <s v="Sneha Bhatia"/>
    <n v="39"/>
    <x v="1"/>
    <x v="0"/>
    <x v="5"/>
    <x v="1"/>
    <x v="2"/>
    <x v="6"/>
    <n v="1"/>
    <n v="7142"/>
    <x v="91"/>
    <x v="0"/>
    <x v="1"/>
    <n v="1"/>
    <s v="No"/>
  </r>
  <r>
    <n v="93"/>
    <x v="92"/>
    <d v="2024-04-02T00:00:00"/>
    <x v="3"/>
    <s v="Neha Roy"/>
    <n v="49"/>
    <x v="1"/>
    <x v="1"/>
    <x v="7"/>
    <x v="0"/>
    <x v="0"/>
    <x v="13"/>
    <n v="1"/>
    <n v="11488"/>
    <x v="92"/>
    <x v="3"/>
    <x v="6"/>
    <n v="1"/>
    <s v="No"/>
  </r>
  <r>
    <n v="94"/>
    <x v="93"/>
    <d v="2024-04-03T00:00:00"/>
    <x v="3"/>
    <s v="Meera Nair"/>
    <n v="47"/>
    <x v="1"/>
    <x v="0"/>
    <x v="2"/>
    <x v="1"/>
    <x v="2"/>
    <x v="9"/>
    <n v="2"/>
    <n v="24964"/>
    <x v="93"/>
    <x v="0"/>
    <x v="1"/>
    <n v="1"/>
    <s v="Yes"/>
  </r>
  <r>
    <n v="95"/>
    <x v="94"/>
    <d v="2024-04-04T00:00:00"/>
    <x v="3"/>
    <s v="Neha Jain"/>
    <n v="44"/>
    <x v="1"/>
    <x v="1"/>
    <x v="8"/>
    <x v="0"/>
    <x v="0"/>
    <x v="17"/>
    <n v="4"/>
    <n v="33343"/>
    <x v="94"/>
    <x v="0"/>
    <x v="3"/>
    <n v="1"/>
    <s v="No"/>
  </r>
  <r>
    <n v="96"/>
    <x v="95"/>
    <d v="2024-04-05T00:00:00"/>
    <x v="3"/>
    <s v="Aarav Mehta"/>
    <n v="45"/>
    <x v="1"/>
    <x v="1"/>
    <x v="8"/>
    <x v="0"/>
    <x v="2"/>
    <x v="9"/>
    <n v="10"/>
    <n v="4084"/>
    <x v="95"/>
    <x v="0"/>
    <x v="0"/>
    <n v="3"/>
    <s v="Yes"/>
  </r>
  <r>
    <n v="97"/>
    <x v="96"/>
    <d v="2024-04-06T00:00:00"/>
    <x v="3"/>
    <s v="Kunal Roy"/>
    <n v="24"/>
    <x v="2"/>
    <x v="1"/>
    <x v="0"/>
    <x v="1"/>
    <x v="4"/>
    <x v="15"/>
    <n v="2"/>
    <n v="309"/>
    <x v="96"/>
    <x v="2"/>
    <x v="9"/>
    <n v="4"/>
    <s v="No"/>
  </r>
  <r>
    <n v="98"/>
    <x v="97"/>
    <d v="2024-04-07T00:00:00"/>
    <x v="3"/>
    <s v="Vikram Gupta"/>
    <n v="37"/>
    <x v="1"/>
    <x v="0"/>
    <x v="9"/>
    <x v="2"/>
    <x v="0"/>
    <x v="8"/>
    <n v="6"/>
    <n v="29503"/>
    <x v="97"/>
    <x v="3"/>
    <x v="3"/>
    <n v="5"/>
    <s v="No"/>
  </r>
  <r>
    <n v="99"/>
    <x v="98"/>
    <d v="2024-04-08T00:00:00"/>
    <x v="3"/>
    <s v="Raj Sen"/>
    <n v="58"/>
    <x v="0"/>
    <x v="0"/>
    <x v="6"/>
    <x v="3"/>
    <x v="3"/>
    <x v="3"/>
    <n v="2"/>
    <n v="33136"/>
    <x v="98"/>
    <x v="4"/>
    <x v="9"/>
    <n v="5"/>
    <s v="Yes"/>
  </r>
  <r>
    <n v="100"/>
    <x v="99"/>
    <d v="2024-04-09T00:00:00"/>
    <x v="3"/>
    <s v="Arjun Iyer"/>
    <n v="36"/>
    <x v="1"/>
    <x v="1"/>
    <x v="2"/>
    <x v="1"/>
    <x v="4"/>
    <x v="7"/>
    <n v="3"/>
    <n v="1066"/>
    <x v="99"/>
    <x v="4"/>
    <x v="7"/>
    <n v="5"/>
    <s v="Yes"/>
  </r>
  <r>
    <n v="101"/>
    <x v="100"/>
    <d v="2024-04-10T00:00:00"/>
    <x v="3"/>
    <s v="Pooja Verma"/>
    <n v="53"/>
    <x v="0"/>
    <x v="0"/>
    <x v="9"/>
    <x v="1"/>
    <x v="3"/>
    <x v="12"/>
    <n v="8"/>
    <n v="29214"/>
    <x v="100"/>
    <x v="1"/>
    <x v="9"/>
    <n v="4"/>
    <s v="No"/>
  </r>
  <r>
    <n v="102"/>
    <x v="101"/>
    <d v="2024-04-11T00:00:00"/>
    <x v="3"/>
    <s v="Rohan Singh"/>
    <n v="24"/>
    <x v="2"/>
    <x v="0"/>
    <x v="6"/>
    <x v="0"/>
    <x v="3"/>
    <x v="3"/>
    <n v="9"/>
    <n v="21803"/>
    <x v="101"/>
    <x v="3"/>
    <x v="2"/>
    <n v="3"/>
    <s v="No"/>
  </r>
  <r>
    <n v="103"/>
    <x v="102"/>
    <d v="2024-04-12T00:00:00"/>
    <x v="3"/>
    <s v="Ishita Iyer"/>
    <n v="21"/>
    <x v="2"/>
    <x v="0"/>
    <x v="0"/>
    <x v="1"/>
    <x v="1"/>
    <x v="19"/>
    <n v="2"/>
    <n v="271"/>
    <x v="102"/>
    <x v="4"/>
    <x v="8"/>
    <n v="1"/>
    <s v="Yes"/>
  </r>
  <r>
    <n v="104"/>
    <x v="103"/>
    <d v="2024-04-13T00:00:00"/>
    <x v="3"/>
    <s v="Arjun Patel"/>
    <n v="45"/>
    <x v="1"/>
    <x v="1"/>
    <x v="6"/>
    <x v="2"/>
    <x v="3"/>
    <x v="16"/>
    <n v="8"/>
    <n v="26107"/>
    <x v="103"/>
    <x v="2"/>
    <x v="7"/>
    <n v="5"/>
    <s v="Yes"/>
  </r>
  <r>
    <n v="105"/>
    <x v="104"/>
    <d v="2024-04-14T00:00:00"/>
    <x v="3"/>
    <s v="Meera Reddy"/>
    <n v="29"/>
    <x v="2"/>
    <x v="0"/>
    <x v="3"/>
    <x v="1"/>
    <x v="2"/>
    <x v="2"/>
    <n v="9"/>
    <n v="42608"/>
    <x v="104"/>
    <x v="2"/>
    <x v="7"/>
    <n v="1"/>
    <s v="No"/>
  </r>
  <r>
    <n v="106"/>
    <x v="105"/>
    <d v="2024-04-15T00:00:00"/>
    <x v="3"/>
    <s v="Vikram Kapoor"/>
    <n v="43"/>
    <x v="1"/>
    <x v="1"/>
    <x v="3"/>
    <x v="0"/>
    <x v="1"/>
    <x v="19"/>
    <n v="3"/>
    <n v="37854"/>
    <x v="105"/>
    <x v="3"/>
    <x v="5"/>
    <n v="3"/>
    <s v="No"/>
  </r>
  <r>
    <n v="107"/>
    <x v="106"/>
    <d v="2024-04-16T00:00:00"/>
    <x v="3"/>
    <s v="Neha Sharma"/>
    <n v="42"/>
    <x v="1"/>
    <x v="0"/>
    <x v="2"/>
    <x v="1"/>
    <x v="2"/>
    <x v="6"/>
    <n v="1"/>
    <n v="19957"/>
    <x v="106"/>
    <x v="2"/>
    <x v="2"/>
    <n v="1"/>
    <s v="Yes"/>
  </r>
  <r>
    <n v="108"/>
    <x v="107"/>
    <d v="2024-04-17T00:00:00"/>
    <x v="3"/>
    <s v="Sneha Ghosh"/>
    <n v="49"/>
    <x v="1"/>
    <x v="1"/>
    <x v="3"/>
    <x v="1"/>
    <x v="1"/>
    <x v="21"/>
    <n v="9"/>
    <n v="45100"/>
    <x v="107"/>
    <x v="2"/>
    <x v="0"/>
    <n v="4"/>
    <s v="Yes"/>
  </r>
  <r>
    <n v="109"/>
    <x v="108"/>
    <d v="2024-04-18T00:00:00"/>
    <x v="3"/>
    <s v="Meera Nair"/>
    <n v="57"/>
    <x v="0"/>
    <x v="1"/>
    <x v="1"/>
    <x v="1"/>
    <x v="0"/>
    <x v="0"/>
    <n v="2"/>
    <n v="17470"/>
    <x v="108"/>
    <x v="4"/>
    <x v="2"/>
    <n v="2"/>
    <s v="No"/>
  </r>
  <r>
    <n v="110"/>
    <x v="109"/>
    <d v="2024-04-19T00:00:00"/>
    <x v="3"/>
    <s v="Ananya Malhotra"/>
    <n v="26"/>
    <x v="2"/>
    <x v="0"/>
    <x v="9"/>
    <x v="3"/>
    <x v="4"/>
    <x v="7"/>
    <n v="1"/>
    <n v="1737"/>
    <x v="109"/>
    <x v="1"/>
    <x v="7"/>
    <n v="3"/>
    <s v="Yes"/>
  </r>
  <r>
    <n v="111"/>
    <x v="110"/>
    <d v="2024-04-20T00:00:00"/>
    <x v="3"/>
    <s v="Manish Malhotra"/>
    <n v="35"/>
    <x v="1"/>
    <x v="0"/>
    <x v="8"/>
    <x v="0"/>
    <x v="4"/>
    <x v="15"/>
    <n v="5"/>
    <n v="1006"/>
    <x v="110"/>
    <x v="0"/>
    <x v="2"/>
    <n v="5"/>
    <s v="No"/>
  </r>
  <r>
    <n v="112"/>
    <x v="111"/>
    <d v="2024-04-21T00:00:00"/>
    <x v="3"/>
    <s v="Kavya Bose"/>
    <n v="20"/>
    <x v="2"/>
    <x v="0"/>
    <x v="9"/>
    <x v="1"/>
    <x v="3"/>
    <x v="12"/>
    <n v="3"/>
    <n v="41835"/>
    <x v="111"/>
    <x v="3"/>
    <x v="6"/>
    <n v="3"/>
    <s v="No"/>
  </r>
  <r>
    <n v="113"/>
    <x v="112"/>
    <d v="2024-04-22T00:00:00"/>
    <x v="3"/>
    <s v="Meera Verma"/>
    <n v="47"/>
    <x v="1"/>
    <x v="1"/>
    <x v="0"/>
    <x v="1"/>
    <x v="2"/>
    <x v="2"/>
    <n v="3"/>
    <n v="46173"/>
    <x v="112"/>
    <x v="3"/>
    <x v="4"/>
    <n v="4"/>
    <s v="No"/>
  </r>
  <r>
    <n v="114"/>
    <x v="113"/>
    <d v="2024-04-23T00:00:00"/>
    <x v="3"/>
    <s v="Rohan Malhotra"/>
    <n v="32"/>
    <x v="1"/>
    <x v="0"/>
    <x v="2"/>
    <x v="0"/>
    <x v="1"/>
    <x v="21"/>
    <n v="10"/>
    <n v="43203"/>
    <x v="113"/>
    <x v="2"/>
    <x v="6"/>
    <n v="5"/>
    <s v="Yes"/>
  </r>
  <r>
    <n v="115"/>
    <x v="114"/>
    <d v="2024-04-24T00:00:00"/>
    <x v="3"/>
    <s v="Kunal Jain"/>
    <n v="57"/>
    <x v="0"/>
    <x v="0"/>
    <x v="6"/>
    <x v="3"/>
    <x v="2"/>
    <x v="18"/>
    <n v="9"/>
    <n v="3681"/>
    <x v="114"/>
    <x v="3"/>
    <x v="5"/>
    <n v="3"/>
    <s v="Yes"/>
  </r>
  <r>
    <n v="116"/>
    <x v="115"/>
    <d v="2024-04-25T00:00:00"/>
    <x v="3"/>
    <s v="Priya Das"/>
    <n v="39"/>
    <x v="1"/>
    <x v="1"/>
    <x v="2"/>
    <x v="3"/>
    <x v="0"/>
    <x v="0"/>
    <n v="7"/>
    <n v="38008"/>
    <x v="115"/>
    <x v="3"/>
    <x v="6"/>
    <n v="1"/>
    <s v="Yes"/>
  </r>
  <r>
    <n v="117"/>
    <x v="116"/>
    <d v="2024-04-26T00:00:00"/>
    <x v="3"/>
    <s v="Manish Bhatia"/>
    <n v="37"/>
    <x v="1"/>
    <x v="1"/>
    <x v="9"/>
    <x v="3"/>
    <x v="0"/>
    <x v="23"/>
    <n v="9"/>
    <n v="37265"/>
    <x v="116"/>
    <x v="1"/>
    <x v="1"/>
    <n v="4"/>
    <s v="Yes"/>
  </r>
  <r>
    <n v="118"/>
    <x v="117"/>
    <d v="2024-04-27T00:00:00"/>
    <x v="3"/>
    <s v="Pooja Iyer"/>
    <n v="44"/>
    <x v="1"/>
    <x v="0"/>
    <x v="7"/>
    <x v="1"/>
    <x v="1"/>
    <x v="19"/>
    <n v="3"/>
    <n v="25036"/>
    <x v="117"/>
    <x v="3"/>
    <x v="2"/>
    <n v="3"/>
    <s v="No"/>
  </r>
  <r>
    <n v="119"/>
    <x v="118"/>
    <d v="2024-04-28T00:00:00"/>
    <x v="3"/>
    <s v="Ishita Nair"/>
    <n v="31"/>
    <x v="1"/>
    <x v="0"/>
    <x v="4"/>
    <x v="3"/>
    <x v="4"/>
    <x v="5"/>
    <n v="10"/>
    <n v="1136"/>
    <x v="118"/>
    <x v="0"/>
    <x v="5"/>
    <n v="1"/>
    <s v="Yes"/>
  </r>
  <r>
    <n v="120"/>
    <x v="119"/>
    <d v="2024-04-29T00:00:00"/>
    <x v="3"/>
    <s v="Ravi Roy"/>
    <n v="56"/>
    <x v="0"/>
    <x v="1"/>
    <x v="3"/>
    <x v="2"/>
    <x v="4"/>
    <x v="7"/>
    <n v="9"/>
    <n v="928"/>
    <x v="119"/>
    <x v="4"/>
    <x v="8"/>
    <n v="4"/>
    <s v="No"/>
  </r>
  <r>
    <n v="121"/>
    <x v="120"/>
    <d v="2024-04-30T00:00:00"/>
    <x v="3"/>
    <s v="Priya Bose"/>
    <n v="58"/>
    <x v="0"/>
    <x v="0"/>
    <x v="2"/>
    <x v="2"/>
    <x v="3"/>
    <x v="3"/>
    <n v="3"/>
    <n v="25017"/>
    <x v="120"/>
    <x v="2"/>
    <x v="2"/>
    <n v="1"/>
    <s v="Yes"/>
  </r>
  <r>
    <n v="122"/>
    <x v="121"/>
    <d v="2024-05-01T00:00:00"/>
    <x v="4"/>
    <s v="Tanvi Verma"/>
    <n v="47"/>
    <x v="1"/>
    <x v="0"/>
    <x v="7"/>
    <x v="2"/>
    <x v="0"/>
    <x v="13"/>
    <n v="3"/>
    <n v="40631"/>
    <x v="121"/>
    <x v="1"/>
    <x v="3"/>
    <n v="4"/>
    <s v="Yes"/>
  </r>
  <r>
    <n v="123"/>
    <x v="122"/>
    <d v="2024-05-02T00:00:00"/>
    <x v="4"/>
    <s v="Arjun Malhotra"/>
    <n v="29"/>
    <x v="2"/>
    <x v="1"/>
    <x v="3"/>
    <x v="0"/>
    <x v="2"/>
    <x v="14"/>
    <n v="3"/>
    <n v="25660"/>
    <x v="122"/>
    <x v="0"/>
    <x v="6"/>
    <n v="2"/>
    <s v="Yes"/>
  </r>
  <r>
    <n v="124"/>
    <x v="123"/>
    <d v="2024-05-03T00:00:00"/>
    <x v="4"/>
    <s v="Vikram Nair"/>
    <n v="54"/>
    <x v="0"/>
    <x v="1"/>
    <x v="4"/>
    <x v="2"/>
    <x v="1"/>
    <x v="11"/>
    <n v="7"/>
    <n v="15493"/>
    <x v="123"/>
    <x v="4"/>
    <x v="6"/>
    <n v="1"/>
    <s v="No"/>
  </r>
  <r>
    <n v="125"/>
    <x v="124"/>
    <d v="2024-05-04T00:00:00"/>
    <x v="4"/>
    <s v="Aarav Singh"/>
    <n v="18"/>
    <x v="2"/>
    <x v="1"/>
    <x v="5"/>
    <x v="0"/>
    <x v="3"/>
    <x v="12"/>
    <n v="1"/>
    <n v="48849"/>
    <x v="124"/>
    <x v="4"/>
    <x v="8"/>
    <n v="3"/>
    <s v="Yes"/>
  </r>
  <r>
    <n v="126"/>
    <x v="125"/>
    <d v="2024-05-05T00:00:00"/>
    <x v="4"/>
    <s v="Meera Reddy"/>
    <n v="45"/>
    <x v="1"/>
    <x v="0"/>
    <x v="7"/>
    <x v="0"/>
    <x v="2"/>
    <x v="2"/>
    <n v="7"/>
    <n v="47924"/>
    <x v="125"/>
    <x v="1"/>
    <x v="0"/>
    <n v="2"/>
    <s v="Yes"/>
  </r>
  <r>
    <n v="127"/>
    <x v="126"/>
    <d v="2024-05-06T00:00:00"/>
    <x v="4"/>
    <s v="Tanvi Verma"/>
    <n v="26"/>
    <x v="2"/>
    <x v="1"/>
    <x v="5"/>
    <x v="0"/>
    <x v="0"/>
    <x v="13"/>
    <n v="4"/>
    <n v="26452"/>
    <x v="126"/>
    <x v="1"/>
    <x v="0"/>
    <n v="5"/>
    <s v="No"/>
  </r>
  <r>
    <n v="128"/>
    <x v="127"/>
    <d v="2024-05-07T00:00:00"/>
    <x v="4"/>
    <s v="Pooja Jain"/>
    <n v="39"/>
    <x v="1"/>
    <x v="0"/>
    <x v="0"/>
    <x v="3"/>
    <x v="2"/>
    <x v="2"/>
    <n v="3"/>
    <n v="32471"/>
    <x v="127"/>
    <x v="4"/>
    <x v="2"/>
    <n v="1"/>
    <s v="No"/>
  </r>
  <r>
    <n v="129"/>
    <x v="128"/>
    <d v="2024-05-08T00:00:00"/>
    <x v="4"/>
    <s v="Meera Reddy"/>
    <n v="40"/>
    <x v="1"/>
    <x v="0"/>
    <x v="4"/>
    <x v="0"/>
    <x v="0"/>
    <x v="13"/>
    <n v="4"/>
    <n v="42672"/>
    <x v="128"/>
    <x v="1"/>
    <x v="9"/>
    <n v="1"/>
    <s v="Yes"/>
  </r>
  <r>
    <n v="130"/>
    <x v="129"/>
    <d v="2024-05-09T00:00:00"/>
    <x v="4"/>
    <s v="Kavya Iyer"/>
    <n v="20"/>
    <x v="2"/>
    <x v="0"/>
    <x v="1"/>
    <x v="0"/>
    <x v="4"/>
    <x v="10"/>
    <n v="9"/>
    <n v="1333"/>
    <x v="129"/>
    <x v="4"/>
    <x v="9"/>
    <n v="2"/>
    <s v="No"/>
  </r>
  <r>
    <n v="131"/>
    <x v="130"/>
    <d v="2024-05-10T00:00:00"/>
    <x v="4"/>
    <s v="Pooja Bose"/>
    <n v="25"/>
    <x v="2"/>
    <x v="1"/>
    <x v="1"/>
    <x v="3"/>
    <x v="0"/>
    <x v="0"/>
    <n v="5"/>
    <n v="29859"/>
    <x v="130"/>
    <x v="0"/>
    <x v="5"/>
    <n v="1"/>
    <s v="Yes"/>
  </r>
  <r>
    <n v="132"/>
    <x v="131"/>
    <d v="2024-05-11T00:00:00"/>
    <x v="4"/>
    <s v="Arjun Agarwal"/>
    <n v="42"/>
    <x v="1"/>
    <x v="0"/>
    <x v="3"/>
    <x v="2"/>
    <x v="0"/>
    <x v="0"/>
    <n v="3"/>
    <n v="6482"/>
    <x v="131"/>
    <x v="1"/>
    <x v="3"/>
    <n v="2"/>
    <s v="No"/>
  </r>
  <r>
    <n v="133"/>
    <x v="132"/>
    <d v="2024-05-12T00:00:00"/>
    <x v="4"/>
    <s v="Manish Jain"/>
    <n v="53"/>
    <x v="0"/>
    <x v="1"/>
    <x v="3"/>
    <x v="2"/>
    <x v="1"/>
    <x v="1"/>
    <n v="5"/>
    <n v="21248"/>
    <x v="132"/>
    <x v="1"/>
    <x v="1"/>
    <n v="1"/>
    <s v="Yes"/>
  </r>
  <r>
    <n v="134"/>
    <x v="133"/>
    <d v="2024-05-13T00:00:00"/>
    <x v="4"/>
    <s v="Meera Mehta"/>
    <n v="30"/>
    <x v="1"/>
    <x v="1"/>
    <x v="1"/>
    <x v="1"/>
    <x v="1"/>
    <x v="19"/>
    <n v="8"/>
    <n v="652"/>
    <x v="133"/>
    <x v="4"/>
    <x v="6"/>
    <n v="2"/>
    <s v="No"/>
  </r>
  <r>
    <n v="135"/>
    <x v="134"/>
    <d v="2024-05-14T00:00:00"/>
    <x v="4"/>
    <s v="Rohan Ghosh"/>
    <n v="57"/>
    <x v="0"/>
    <x v="0"/>
    <x v="0"/>
    <x v="2"/>
    <x v="0"/>
    <x v="23"/>
    <n v="3"/>
    <n v="3071"/>
    <x v="134"/>
    <x v="4"/>
    <x v="7"/>
    <n v="4"/>
    <s v="No"/>
  </r>
  <r>
    <n v="136"/>
    <x v="135"/>
    <d v="2024-05-15T00:00:00"/>
    <x v="4"/>
    <s v="Priya Mehta"/>
    <n v="32"/>
    <x v="1"/>
    <x v="1"/>
    <x v="9"/>
    <x v="3"/>
    <x v="2"/>
    <x v="14"/>
    <n v="5"/>
    <n v="16674"/>
    <x v="135"/>
    <x v="0"/>
    <x v="3"/>
    <n v="1"/>
    <s v="Yes"/>
  </r>
  <r>
    <n v="137"/>
    <x v="136"/>
    <d v="2024-05-16T00:00:00"/>
    <x v="4"/>
    <s v="Aarav Reddy"/>
    <n v="32"/>
    <x v="1"/>
    <x v="1"/>
    <x v="3"/>
    <x v="0"/>
    <x v="2"/>
    <x v="6"/>
    <n v="8"/>
    <n v="27402"/>
    <x v="136"/>
    <x v="2"/>
    <x v="8"/>
    <n v="2"/>
    <s v="Yes"/>
  </r>
  <r>
    <n v="138"/>
    <x v="137"/>
    <d v="2024-05-17T00:00:00"/>
    <x v="4"/>
    <s v="Aarav Das"/>
    <n v="40"/>
    <x v="1"/>
    <x v="1"/>
    <x v="9"/>
    <x v="3"/>
    <x v="1"/>
    <x v="19"/>
    <n v="5"/>
    <n v="27319"/>
    <x v="137"/>
    <x v="0"/>
    <x v="0"/>
    <n v="5"/>
    <s v="Yes"/>
  </r>
  <r>
    <n v="139"/>
    <x v="138"/>
    <d v="2024-05-18T00:00:00"/>
    <x v="4"/>
    <s v="Sneha Malhotra"/>
    <n v="26"/>
    <x v="2"/>
    <x v="0"/>
    <x v="5"/>
    <x v="1"/>
    <x v="2"/>
    <x v="14"/>
    <n v="1"/>
    <n v="32547"/>
    <x v="138"/>
    <x v="4"/>
    <x v="3"/>
    <n v="4"/>
    <s v="No"/>
  </r>
  <r>
    <n v="140"/>
    <x v="139"/>
    <d v="2024-05-19T00:00:00"/>
    <x v="4"/>
    <s v="Meera Das"/>
    <n v="42"/>
    <x v="1"/>
    <x v="1"/>
    <x v="5"/>
    <x v="1"/>
    <x v="3"/>
    <x v="22"/>
    <n v="3"/>
    <n v="13134"/>
    <x v="139"/>
    <x v="0"/>
    <x v="0"/>
    <n v="1"/>
    <s v="No"/>
  </r>
  <r>
    <n v="141"/>
    <x v="140"/>
    <d v="2024-05-20T00:00:00"/>
    <x v="4"/>
    <s v="Sneha Bhatia"/>
    <n v="54"/>
    <x v="0"/>
    <x v="1"/>
    <x v="4"/>
    <x v="1"/>
    <x v="1"/>
    <x v="19"/>
    <n v="4"/>
    <n v="36112"/>
    <x v="140"/>
    <x v="4"/>
    <x v="6"/>
    <n v="1"/>
    <s v="No"/>
  </r>
  <r>
    <n v="142"/>
    <x v="141"/>
    <d v="2024-05-21T00:00:00"/>
    <x v="4"/>
    <s v="Meera Roy"/>
    <n v="34"/>
    <x v="1"/>
    <x v="0"/>
    <x v="3"/>
    <x v="3"/>
    <x v="2"/>
    <x v="6"/>
    <n v="1"/>
    <n v="37573"/>
    <x v="141"/>
    <x v="2"/>
    <x v="7"/>
    <n v="3"/>
    <s v="No"/>
  </r>
  <r>
    <n v="143"/>
    <x v="142"/>
    <d v="2024-05-22T00:00:00"/>
    <x v="4"/>
    <s v="Priya Patel"/>
    <n v="27"/>
    <x v="2"/>
    <x v="1"/>
    <x v="8"/>
    <x v="3"/>
    <x v="4"/>
    <x v="10"/>
    <n v="7"/>
    <n v="211"/>
    <x v="142"/>
    <x v="1"/>
    <x v="2"/>
    <n v="4"/>
    <s v="Yes"/>
  </r>
  <r>
    <n v="144"/>
    <x v="143"/>
    <d v="2024-05-23T00:00:00"/>
    <x v="4"/>
    <s v="Rohan Jain"/>
    <n v="37"/>
    <x v="1"/>
    <x v="0"/>
    <x v="4"/>
    <x v="3"/>
    <x v="2"/>
    <x v="14"/>
    <n v="2"/>
    <n v="12480"/>
    <x v="143"/>
    <x v="0"/>
    <x v="8"/>
    <n v="5"/>
    <s v="No"/>
  </r>
  <r>
    <n v="145"/>
    <x v="144"/>
    <d v="2024-05-24T00:00:00"/>
    <x v="4"/>
    <s v="Aarav Verma"/>
    <n v="34"/>
    <x v="1"/>
    <x v="1"/>
    <x v="1"/>
    <x v="1"/>
    <x v="1"/>
    <x v="20"/>
    <n v="7"/>
    <n v="30547"/>
    <x v="144"/>
    <x v="2"/>
    <x v="5"/>
    <n v="2"/>
    <s v="No"/>
  </r>
  <r>
    <n v="146"/>
    <x v="145"/>
    <d v="2024-05-25T00:00:00"/>
    <x v="4"/>
    <s v="Aarav Sen"/>
    <n v="51"/>
    <x v="0"/>
    <x v="0"/>
    <x v="6"/>
    <x v="0"/>
    <x v="0"/>
    <x v="8"/>
    <n v="10"/>
    <n v="39509"/>
    <x v="145"/>
    <x v="3"/>
    <x v="5"/>
    <n v="5"/>
    <s v="Yes"/>
  </r>
  <r>
    <n v="147"/>
    <x v="146"/>
    <d v="2024-05-26T00:00:00"/>
    <x v="4"/>
    <s v="Manish Iyer"/>
    <n v="19"/>
    <x v="2"/>
    <x v="0"/>
    <x v="9"/>
    <x v="1"/>
    <x v="3"/>
    <x v="16"/>
    <n v="4"/>
    <n v="45247"/>
    <x v="146"/>
    <x v="3"/>
    <x v="3"/>
    <n v="1"/>
    <s v="No"/>
  </r>
  <r>
    <n v="148"/>
    <x v="147"/>
    <d v="2024-05-27T00:00:00"/>
    <x v="4"/>
    <s v="Kunal Patel"/>
    <n v="23"/>
    <x v="2"/>
    <x v="0"/>
    <x v="9"/>
    <x v="3"/>
    <x v="1"/>
    <x v="11"/>
    <n v="6"/>
    <n v="17217"/>
    <x v="147"/>
    <x v="2"/>
    <x v="9"/>
    <n v="5"/>
    <s v="No"/>
  </r>
  <r>
    <n v="149"/>
    <x v="148"/>
    <d v="2024-05-28T00:00:00"/>
    <x v="4"/>
    <s v="Ravi Nair"/>
    <n v="39"/>
    <x v="1"/>
    <x v="1"/>
    <x v="4"/>
    <x v="1"/>
    <x v="2"/>
    <x v="9"/>
    <n v="10"/>
    <n v="28939"/>
    <x v="148"/>
    <x v="3"/>
    <x v="8"/>
    <n v="5"/>
    <s v="Yes"/>
  </r>
  <r>
    <n v="150"/>
    <x v="149"/>
    <d v="2024-05-29T00:00:00"/>
    <x v="4"/>
    <s v="Meera Jain"/>
    <n v="28"/>
    <x v="2"/>
    <x v="0"/>
    <x v="3"/>
    <x v="3"/>
    <x v="0"/>
    <x v="0"/>
    <n v="8"/>
    <n v="44148"/>
    <x v="149"/>
    <x v="3"/>
    <x v="4"/>
    <n v="5"/>
    <s v="No"/>
  </r>
  <r>
    <n v="151"/>
    <x v="150"/>
    <d v="2024-05-30T00:00:00"/>
    <x v="4"/>
    <s v="Neha Nair"/>
    <n v="25"/>
    <x v="2"/>
    <x v="1"/>
    <x v="2"/>
    <x v="0"/>
    <x v="2"/>
    <x v="9"/>
    <n v="5"/>
    <n v="15847"/>
    <x v="150"/>
    <x v="3"/>
    <x v="5"/>
    <n v="1"/>
    <s v="No"/>
  </r>
  <r>
    <n v="152"/>
    <x v="151"/>
    <d v="2024-05-31T00:00:00"/>
    <x v="4"/>
    <s v="Ishita Gupta"/>
    <n v="33"/>
    <x v="1"/>
    <x v="1"/>
    <x v="8"/>
    <x v="0"/>
    <x v="2"/>
    <x v="6"/>
    <n v="2"/>
    <n v="35111"/>
    <x v="151"/>
    <x v="4"/>
    <x v="4"/>
    <n v="4"/>
    <s v="Yes"/>
  </r>
  <r>
    <n v="153"/>
    <x v="152"/>
    <d v="2024-06-01T00:00:00"/>
    <x v="5"/>
    <s v="Rohan Roy"/>
    <n v="52"/>
    <x v="0"/>
    <x v="1"/>
    <x v="4"/>
    <x v="1"/>
    <x v="1"/>
    <x v="1"/>
    <n v="1"/>
    <n v="20402"/>
    <x v="152"/>
    <x v="1"/>
    <x v="1"/>
    <n v="3"/>
    <s v="Yes"/>
  </r>
  <r>
    <n v="154"/>
    <x v="153"/>
    <d v="2024-06-02T00:00:00"/>
    <x v="5"/>
    <s v="Sneha Nair"/>
    <n v="37"/>
    <x v="1"/>
    <x v="1"/>
    <x v="5"/>
    <x v="1"/>
    <x v="1"/>
    <x v="11"/>
    <n v="8"/>
    <n v="4316"/>
    <x v="153"/>
    <x v="3"/>
    <x v="8"/>
    <n v="5"/>
    <s v="Yes"/>
  </r>
  <r>
    <n v="155"/>
    <x v="154"/>
    <d v="2024-06-03T00:00:00"/>
    <x v="5"/>
    <s v="Manish Sharma"/>
    <n v="28"/>
    <x v="2"/>
    <x v="1"/>
    <x v="3"/>
    <x v="2"/>
    <x v="3"/>
    <x v="12"/>
    <n v="3"/>
    <n v="40263"/>
    <x v="154"/>
    <x v="0"/>
    <x v="3"/>
    <n v="5"/>
    <s v="Yes"/>
  </r>
  <r>
    <n v="156"/>
    <x v="155"/>
    <d v="2024-06-04T00:00:00"/>
    <x v="5"/>
    <s v="Manish Mehta"/>
    <n v="49"/>
    <x v="1"/>
    <x v="1"/>
    <x v="6"/>
    <x v="0"/>
    <x v="2"/>
    <x v="18"/>
    <n v="5"/>
    <n v="13935"/>
    <x v="155"/>
    <x v="0"/>
    <x v="6"/>
    <n v="3"/>
    <s v="No"/>
  </r>
  <r>
    <n v="157"/>
    <x v="156"/>
    <d v="2024-06-05T00:00:00"/>
    <x v="5"/>
    <s v="Kunal Patel"/>
    <n v="25"/>
    <x v="2"/>
    <x v="0"/>
    <x v="7"/>
    <x v="0"/>
    <x v="0"/>
    <x v="23"/>
    <n v="2"/>
    <n v="20739"/>
    <x v="156"/>
    <x v="1"/>
    <x v="9"/>
    <n v="4"/>
    <s v="Yes"/>
  </r>
  <r>
    <n v="158"/>
    <x v="157"/>
    <d v="2024-06-06T00:00:00"/>
    <x v="5"/>
    <s v="Sneha Chopra"/>
    <n v="48"/>
    <x v="1"/>
    <x v="0"/>
    <x v="0"/>
    <x v="0"/>
    <x v="3"/>
    <x v="12"/>
    <n v="3"/>
    <n v="24515"/>
    <x v="157"/>
    <x v="0"/>
    <x v="3"/>
    <n v="2"/>
    <s v="No"/>
  </r>
  <r>
    <n v="159"/>
    <x v="158"/>
    <d v="2024-06-07T00:00:00"/>
    <x v="5"/>
    <s v="Ravi Bhatia"/>
    <n v="59"/>
    <x v="0"/>
    <x v="0"/>
    <x v="7"/>
    <x v="2"/>
    <x v="2"/>
    <x v="14"/>
    <n v="5"/>
    <n v="47792"/>
    <x v="158"/>
    <x v="4"/>
    <x v="8"/>
    <n v="3"/>
    <s v="No"/>
  </r>
  <r>
    <n v="160"/>
    <x v="159"/>
    <d v="2024-06-08T00:00:00"/>
    <x v="5"/>
    <s v="Tanvi Verma"/>
    <n v="57"/>
    <x v="0"/>
    <x v="0"/>
    <x v="4"/>
    <x v="1"/>
    <x v="4"/>
    <x v="4"/>
    <n v="1"/>
    <n v="537"/>
    <x v="159"/>
    <x v="4"/>
    <x v="0"/>
    <n v="5"/>
    <s v="Yes"/>
  </r>
  <r>
    <n v="161"/>
    <x v="160"/>
    <d v="2024-06-09T00:00:00"/>
    <x v="5"/>
    <s v="Manish Mehta"/>
    <n v="36"/>
    <x v="1"/>
    <x v="0"/>
    <x v="3"/>
    <x v="2"/>
    <x v="1"/>
    <x v="1"/>
    <n v="8"/>
    <n v="36327"/>
    <x v="160"/>
    <x v="4"/>
    <x v="2"/>
    <n v="2"/>
    <s v="Yes"/>
  </r>
  <r>
    <n v="162"/>
    <x v="161"/>
    <d v="2024-06-10T00:00:00"/>
    <x v="5"/>
    <s v="Ananya Nair"/>
    <n v="49"/>
    <x v="1"/>
    <x v="0"/>
    <x v="4"/>
    <x v="3"/>
    <x v="2"/>
    <x v="9"/>
    <n v="5"/>
    <n v="10107"/>
    <x v="161"/>
    <x v="2"/>
    <x v="9"/>
    <n v="1"/>
    <s v="Yes"/>
  </r>
  <r>
    <n v="163"/>
    <x v="162"/>
    <d v="2024-06-11T00:00:00"/>
    <x v="5"/>
    <s v="Ishita Gupta"/>
    <n v="41"/>
    <x v="1"/>
    <x v="0"/>
    <x v="0"/>
    <x v="2"/>
    <x v="2"/>
    <x v="14"/>
    <n v="3"/>
    <n v="38841"/>
    <x v="162"/>
    <x v="0"/>
    <x v="1"/>
    <n v="3"/>
    <s v="No"/>
  </r>
  <r>
    <n v="164"/>
    <x v="163"/>
    <d v="2024-06-12T00:00:00"/>
    <x v="5"/>
    <s v="Pooja Chopra"/>
    <n v="49"/>
    <x v="1"/>
    <x v="0"/>
    <x v="9"/>
    <x v="1"/>
    <x v="1"/>
    <x v="19"/>
    <n v="8"/>
    <n v="42818"/>
    <x v="163"/>
    <x v="0"/>
    <x v="6"/>
    <n v="4"/>
    <s v="No"/>
  </r>
  <r>
    <n v="165"/>
    <x v="164"/>
    <d v="2024-06-13T00:00:00"/>
    <x v="5"/>
    <s v="Meera Mehta"/>
    <n v="53"/>
    <x v="0"/>
    <x v="0"/>
    <x v="6"/>
    <x v="3"/>
    <x v="1"/>
    <x v="11"/>
    <n v="7"/>
    <n v="8812"/>
    <x v="164"/>
    <x v="3"/>
    <x v="0"/>
    <n v="1"/>
    <s v="Yes"/>
  </r>
  <r>
    <n v="166"/>
    <x v="165"/>
    <d v="2024-06-14T00:00:00"/>
    <x v="5"/>
    <s v="Ishita Das"/>
    <n v="20"/>
    <x v="2"/>
    <x v="1"/>
    <x v="6"/>
    <x v="2"/>
    <x v="3"/>
    <x v="24"/>
    <n v="10"/>
    <n v="12085"/>
    <x v="165"/>
    <x v="0"/>
    <x v="4"/>
    <n v="3"/>
    <s v="No"/>
  </r>
  <r>
    <n v="167"/>
    <x v="166"/>
    <d v="2024-06-15T00:00:00"/>
    <x v="5"/>
    <s v="Vikram Bose"/>
    <n v="54"/>
    <x v="0"/>
    <x v="1"/>
    <x v="9"/>
    <x v="2"/>
    <x v="2"/>
    <x v="2"/>
    <n v="2"/>
    <n v="12160"/>
    <x v="166"/>
    <x v="3"/>
    <x v="4"/>
    <n v="3"/>
    <s v="Yes"/>
  </r>
  <r>
    <n v="168"/>
    <x v="167"/>
    <d v="2024-06-16T00:00:00"/>
    <x v="5"/>
    <s v="Ravi Bhatia"/>
    <n v="40"/>
    <x v="1"/>
    <x v="0"/>
    <x v="3"/>
    <x v="1"/>
    <x v="0"/>
    <x v="17"/>
    <n v="9"/>
    <n v="23783"/>
    <x v="167"/>
    <x v="0"/>
    <x v="6"/>
    <n v="5"/>
    <s v="Yes"/>
  </r>
  <r>
    <n v="169"/>
    <x v="168"/>
    <d v="2024-06-17T00:00:00"/>
    <x v="5"/>
    <s v="Ishita Sharma"/>
    <n v="42"/>
    <x v="1"/>
    <x v="0"/>
    <x v="1"/>
    <x v="0"/>
    <x v="3"/>
    <x v="22"/>
    <n v="2"/>
    <n v="43032"/>
    <x v="168"/>
    <x v="3"/>
    <x v="1"/>
    <n v="1"/>
    <s v="No"/>
  </r>
  <r>
    <n v="170"/>
    <x v="169"/>
    <d v="2024-06-18T00:00:00"/>
    <x v="5"/>
    <s v="Pooja Singh"/>
    <n v="49"/>
    <x v="1"/>
    <x v="0"/>
    <x v="9"/>
    <x v="3"/>
    <x v="1"/>
    <x v="20"/>
    <n v="8"/>
    <n v="43891"/>
    <x v="169"/>
    <x v="2"/>
    <x v="2"/>
    <n v="4"/>
    <s v="No"/>
  </r>
  <r>
    <n v="171"/>
    <x v="170"/>
    <d v="2024-06-19T00:00:00"/>
    <x v="5"/>
    <s v="Aditya Bhatia"/>
    <n v="19"/>
    <x v="2"/>
    <x v="1"/>
    <x v="1"/>
    <x v="1"/>
    <x v="0"/>
    <x v="0"/>
    <n v="2"/>
    <n v="14418"/>
    <x v="170"/>
    <x v="3"/>
    <x v="3"/>
    <n v="2"/>
    <s v="Yes"/>
  </r>
  <r>
    <n v="172"/>
    <x v="171"/>
    <d v="2024-06-20T00:00:00"/>
    <x v="5"/>
    <s v="Ravi Verma"/>
    <n v="54"/>
    <x v="0"/>
    <x v="1"/>
    <x v="7"/>
    <x v="3"/>
    <x v="4"/>
    <x v="5"/>
    <n v="10"/>
    <n v="1293"/>
    <x v="171"/>
    <x v="3"/>
    <x v="4"/>
    <n v="3"/>
    <s v="Yes"/>
  </r>
  <r>
    <n v="173"/>
    <x v="172"/>
    <d v="2024-06-21T00:00:00"/>
    <x v="5"/>
    <s v="Raj Agarwal"/>
    <n v="32"/>
    <x v="1"/>
    <x v="0"/>
    <x v="8"/>
    <x v="0"/>
    <x v="3"/>
    <x v="3"/>
    <n v="5"/>
    <n v="44809"/>
    <x v="172"/>
    <x v="2"/>
    <x v="8"/>
    <n v="1"/>
    <s v="No"/>
  </r>
  <r>
    <n v="174"/>
    <x v="173"/>
    <d v="2024-06-22T00:00:00"/>
    <x v="5"/>
    <s v="Ravi Das"/>
    <n v="37"/>
    <x v="1"/>
    <x v="0"/>
    <x v="6"/>
    <x v="2"/>
    <x v="2"/>
    <x v="6"/>
    <n v="9"/>
    <n v="15987"/>
    <x v="173"/>
    <x v="4"/>
    <x v="7"/>
    <n v="2"/>
    <s v="Yes"/>
  </r>
  <r>
    <n v="175"/>
    <x v="174"/>
    <d v="2024-06-23T00:00:00"/>
    <x v="5"/>
    <s v="Aarav Reddy"/>
    <n v="33"/>
    <x v="1"/>
    <x v="0"/>
    <x v="5"/>
    <x v="1"/>
    <x v="4"/>
    <x v="7"/>
    <n v="3"/>
    <n v="1569"/>
    <x v="174"/>
    <x v="0"/>
    <x v="5"/>
    <n v="1"/>
    <s v="Yes"/>
  </r>
  <r>
    <n v="176"/>
    <x v="175"/>
    <d v="2024-06-24T00:00:00"/>
    <x v="5"/>
    <s v="Kavya Agarwal"/>
    <n v="34"/>
    <x v="1"/>
    <x v="1"/>
    <x v="4"/>
    <x v="2"/>
    <x v="0"/>
    <x v="17"/>
    <n v="3"/>
    <n v="21343"/>
    <x v="175"/>
    <x v="2"/>
    <x v="1"/>
    <n v="5"/>
    <s v="No"/>
  </r>
  <r>
    <n v="177"/>
    <x v="176"/>
    <d v="2024-06-25T00:00:00"/>
    <x v="5"/>
    <s v="Divya Iyer"/>
    <n v="19"/>
    <x v="2"/>
    <x v="1"/>
    <x v="4"/>
    <x v="3"/>
    <x v="1"/>
    <x v="21"/>
    <n v="9"/>
    <n v="18052"/>
    <x v="176"/>
    <x v="2"/>
    <x v="8"/>
    <n v="2"/>
    <s v="Yes"/>
  </r>
  <r>
    <n v="178"/>
    <x v="177"/>
    <d v="2024-06-26T00:00:00"/>
    <x v="5"/>
    <s v="Aditya Jain"/>
    <n v="57"/>
    <x v="0"/>
    <x v="0"/>
    <x v="5"/>
    <x v="2"/>
    <x v="1"/>
    <x v="21"/>
    <n v="9"/>
    <n v="576"/>
    <x v="177"/>
    <x v="2"/>
    <x v="8"/>
    <n v="2"/>
    <s v="Yes"/>
  </r>
  <r>
    <n v="179"/>
    <x v="178"/>
    <d v="2024-06-27T00:00:00"/>
    <x v="5"/>
    <s v="Sanya Agarwal"/>
    <n v="49"/>
    <x v="1"/>
    <x v="0"/>
    <x v="7"/>
    <x v="1"/>
    <x v="3"/>
    <x v="16"/>
    <n v="5"/>
    <n v="12884"/>
    <x v="178"/>
    <x v="3"/>
    <x v="0"/>
    <n v="1"/>
    <s v="No"/>
  </r>
  <r>
    <n v="180"/>
    <x v="179"/>
    <d v="2024-06-28T00:00:00"/>
    <x v="5"/>
    <s v="Sanya Malhotra"/>
    <n v="35"/>
    <x v="1"/>
    <x v="0"/>
    <x v="5"/>
    <x v="0"/>
    <x v="3"/>
    <x v="16"/>
    <n v="10"/>
    <n v="48628"/>
    <x v="179"/>
    <x v="4"/>
    <x v="8"/>
    <n v="3"/>
    <s v="Yes"/>
  </r>
  <r>
    <n v="181"/>
    <x v="180"/>
    <d v="2024-06-29T00:00:00"/>
    <x v="5"/>
    <s v="Ishita Gupta"/>
    <n v="33"/>
    <x v="1"/>
    <x v="1"/>
    <x v="5"/>
    <x v="2"/>
    <x v="4"/>
    <x v="5"/>
    <n v="8"/>
    <n v="1807"/>
    <x v="180"/>
    <x v="2"/>
    <x v="9"/>
    <n v="1"/>
    <s v="No"/>
  </r>
  <r>
    <n v="182"/>
    <x v="181"/>
    <d v="2024-06-30T00:00:00"/>
    <x v="5"/>
    <s v="Vikram Agarwal"/>
    <n v="55"/>
    <x v="0"/>
    <x v="0"/>
    <x v="9"/>
    <x v="2"/>
    <x v="2"/>
    <x v="2"/>
    <n v="1"/>
    <n v="48229"/>
    <x v="181"/>
    <x v="4"/>
    <x v="7"/>
    <n v="1"/>
    <s v="Yes"/>
  </r>
  <r>
    <n v="183"/>
    <x v="182"/>
    <d v="2024-07-01T00:00:00"/>
    <x v="6"/>
    <s v="Divya Bhatia"/>
    <n v="48"/>
    <x v="1"/>
    <x v="0"/>
    <x v="6"/>
    <x v="2"/>
    <x v="1"/>
    <x v="21"/>
    <n v="3"/>
    <n v="10933"/>
    <x v="182"/>
    <x v="4"/>
    <x v="7"/>
    <n v="1"/>
    <s v="No"/>
  </r>
  <r>
    <n v="184"/>
    <x v="183"/>
    <d v="2024-07-02T00:00:00"/>
    <x v="6"/>
    <s v="Rohan Roy"/>
    <n v="59"/>
    <x v="0"/>
    <x v="0"/>
    <x v="7"/>
    <x v="2"/>
    <x v="3"/>
    <x v="16"/>
    <n v="8"/>
    <n v="33585"/>
    <x v="183"/>
    <x v="0"/>
    <x v="5"/>
    <n v="4"/>
    <s v="No"/>
  </r>
  <r>
    <n v="185"/>
    <x v="184"/>
    <d v="2024-07-03T00:00:00"/>
    <x v="6"/>
    <s v="Rohan Gupta"/>
    <n v="46"/>
    <x v="1"/>
    <x v="0"/>
    <x v="8"/>
    <x v="0"/>
    <x v="1"/>
    <x v="11"/>
    <n v="10"/>
    <n v="22244"/>
    <x v="184"/>
    <x v="0"/>
    <x v="8"/>
    <n v="4"/>
    <s v="No"/>
  </r>
  <r>
    <n v="186"/>
    <x v="185"/>
    <d v="2024-07-04T00:00:00"/>
    <x v="6"/>
    <s v="Priya Sharma"/>
    <n v="40"/>
    <x v="1"/>
    <x v="0"/>
    <x v="6"/>
    <x v="3"/>
    <x v="1"/>
    <x v="1"/>
    <n v="9"/>
    <n v="27795"/>
    <x v="185"/>
    <x v="4"/>
    <x v="7"/>
    <n v="2"/>
    <s v="Yes"/>
  </r>
  <r>
    <n v="187"/>
    <x v="186"/>
    <d v="2024-07-05T00:00:00"/>
    <x v="6"/>
    <s v="Neha Gupta"/>
    <n v="48"/>
    <x v="1"/>
    <x v="1"/>
    <x v="7"/>
    <x v="2"/>
    <x v="3"/>
    <x v="22"/>
    <n v="2"/>
    <n v="1445"/>
    <x v="186"/>
    <x v="1"/>
    <x v="7"/>
    <n v="2"/>
    <s v="No"/>
  </r>
  <r>
    <n v="188"/>
    <x v="187"/>
    <d v="2024-07-06T00:00:00"/>
    <x v="6"/>
    <s v="Priya Bhatia"/>
    <n v="55"/>
    <x v="0"/>
    <x v="1"/>
    <x v="8"/>
    <x v="0"/>
    <x v="3"/>
    <x v="16"/>
    <n v="4"/>
    <n v="3640"/>
    <x v="187"/>
    <x v="3"/>
    <x v="2"/>
    <n v="3"/>
    <s v="No"/>
  </r>
  <r>
    <n v="189"/>
    <x v="188"/>
    <d v="2024-07-07T00:00:00"/>
    <x v="6"/>
    <s v="Aditya Kapoor"/>
    <n v="44"/>
    <x v="1"/>
    <x v="0"/>
    <x v="6"/>
    <x v="3"/>
    <x v="0"/>
    <x v="17"/>
    <n v="8"/>
    <n v="21999"/>
    <x v="188"/>
    <x v="4"/>
    <x v="3"/>
    <n v="1"/>
    <s v="Yes"/>
  </r>
  <r>
    <n v="190"/>
    <x v="189"/>
    <d v="2024-07-08T00:00:00"/>
    <x v="6"/>
    <s v="Neha Sharma"/>
    <n v="26"/>
    <x v="2"/>
    <x v="0"/>
    <x v="9"/>
    <x v="2"/>
    <x v="3"/>
    <x v="24"/>
    <n v="5"/>
    <n v="38451"/>
    <x v="189"/>
    <x v="2"/>
    <x v="4"/>
    <n v="2"/>
    <s v="No"/>
  </r>
  <r>
    <n v="191"/>
    <x v="190"/>
    <d v="2024-07-09T00:00:00"/>
    <x v="6"/>
    <s v="Ravi Agarwal"/>
    <n v="46"/>
    <x v="1"/>
    <x v="1"/>
    <x v="0"/>
    <x v="3"/>
    <x v="1"/>
    <x v="1"/>
    <n v="4"/>
    <n v="3861"/>
    <x v="26"/>
    <x v="2"/>
    <x v="6"/>
    <n v="5"/>
    <s v="Yes"/>
  </r>
  <r>
    <n v="192"/>
    <x v="191"/>
    <d v="2024-07-10T00:00:00"/>
    <x v="6"/>
    <s v="Kunal Bose"/>
    <n v="25"/>
    <x v="2"/>
    <x v="1"/>
    <x v="4"/>
    <x v="1"/>
    <x v="3"/>
    <x v="12"/>
    <n v="8"/>
    <n v="43993"/>
    <x v="190"/>
    <x v="3"/>
    <x v="5"/>
    <n v="5"/>
    <s v="Yes"/>
  </r>
  <r>
    <n v="193"/>
    <x v="192"/>
    <d v="2024-07-11T00:00:00"/>
    <x v="6"/>
    <s v="Ravi Sharma"/>
    <n v="21"/>
    <x v="2"/>
    <x v="1"/>
    <x v="0"/>
    <x v="3"/>
    <x v="3"/>
    <x v="12"/>
    <n v="3"/>
    <n v="27675"/>
    <x v="191"/>
    <x v="4"/>
    <x v="4"/>
    <n v="5"/>
    <s v="Yes"/>
  </r>
  <r>
    <n v="194"/>
    <x v="193"/>
    <d v="2024-07-12T00:00:00"/>
    <x v="6"/>
    <s v="Sanya Bhatia"/>
    <n v="43"/>
    <x v="1"/>
    <x v="1"/>
    <x v="3"/>
    <x v="3"/>
    <x v="0"/>
    <x v="17"/>
    <n v="8"/>
    <n v="17801"/>
    <x v="192"/>
    <x v="1"/>
    <x v="1"/>
    <n v="3"/>
    <s v="No"/>
  </r>
  <r>
    <n v="195"/>
    <x v="194"/>
    <d v="2024-07-13T00:00:00"/>
    <x v="6"/>
    <s v="Aditya Gupta"/>
    <n v="48"/>
    <x v="1"/>
    <x v="0"/>
    <x v="2"/>
    <x v="2"/>
    <x v="2"/>
    <x v="2"/>
    <n v="7"/>
    <n v="42064"/>
    <x v="193"/>
    <x v="1"/>
    <x v="2"/>
    <n v="2"/>
    <s v="No"/>
  </r>
  <r>
    <n v="196"/>
    <x v="195"/>
    <d v="2024-07-14T00:00:00"/>
    <x v="6"/>
    <s v="Aditya Singh"/>
    <n v="55"/>
    <x v="0"/>
    <x v="1"/>
    <x v="0"/>
    <x v="1"/>
    <x v="2"/>
    <x v="6"/>
    <n v="6"/>
    <n v="16500"/>
    <x v="194"/>
    <x v="0"/>
    <x v="2"/>
    <n v="4"/>
    <s v="Yes"/>
  </r>
  <r>
    <n v="197"/>
    <x v="196"/>
    <d v="2024-07-15T00:00:00"/>
    <x v="6"/>
    <s v="Kunal Roy"/>
    <n v="25"/>
    <x v="2"/>
    <x v="0"/>
    <x v="2"/>
    <x v="3"/>
    <x v="1"/>
    <x v="11"/>
    <n v="2"/>
    <n v="22256"/>
    <x v="195"/>
    <x v="1"/>
    <x v="3"/>
    <n v="2"/>
    <s v="Yes"/>
  </r>
  <r>
    <n v="198"/>
    <x v="197"/>
    <d v="2024-07-16T00:00:00"/>
    <x v="6"/>
    <s v="Neha Reddy"/>
    <n v="20"/>
    <x v="2"/>
    <x v="1"/>
    <x v="5"/>
    <x v="3"/>
    <x v="4"/>
    <x v="7"/>
    <n v="1"/>
    <n v="273"/>
    <x v="196"/>
    <x v="0"/>
    <x v="4"/>
    <n v="2"/>
    <s v="No"/>
  </r>
  <r>
    <n v="199"/>
    <x v="198"/>
    <d v="2024-07-17T00:00:00"/>
    <x v="6"/>
    <s v="Tanvi Verma"/>
    <n v="25"/>
    <x v="2"/>
    <x v="0"/>
    <x v="7"/>
    <x v="2"/>
    <x v="0"/>
    <x v="13"/>
    <n v="1"/>
    <n v="6727"/>
    <x v="197"/>
    <x v="3"/>
    <x v="0"/>
    <n v="4"/>
    <s v="Yes"/>
  </r>
  <r>
    <n v="200"/>
    <x v="199"/>
    <d v="2024-07-18T00:00:00"/>
    <x v="6"/>
    <s v="Tanvi Das"/>
    <n v="48"/>
    <x v="1"/>
    <x v="0"/>
    <x v="0"/>
    <x v="3"/>
    <x v="3"/>
    <x v="22"/>
    <n v="6"/>
    <n v="33448"/>
    <x v="198"/>
    <x v="3"/>
    <x v="6"/>
    <n v="4"/>
    <s v="No"/>
  </r>
  <r>
    <n v="201"/>
    <x v="200"/>
    <d v="2024-07-19T00:00:00"/>
    <x v="6"/>
    <s v="Meera Sen"/>
    <n v="44"/>
    <x v="1"/>
    <x v="0"/>
    <x v="5"/>
    <x v="1"/>
    <x v="3"/>
    <x v="16"/>
    <n v="9"/>
    <n v="21502"/>
    <x v="199"/>
    <x v="0"/>
    <x v="5"/>
    <n v="4"/>
    <s v="No"/>
  </r>
  <r>
    <n v="202"/>
    <x v="201"/>
    <d v="2024-07-20T00:00:00"/>
    <x v="6"/>
    <s v="Vikram Chopra"/>
    <n v="54"/>
    <x v="0"/>
    <x v="1"/>
    <x v="1"/>
    <x v="2"/>
    <x v="1"/>
    <x v="21"/>
    <n v="7"/>
    <n v="47894"/>
    <x v="200"/>
    <x v="3"/>
    <x v="5"/>
    <n v="2"/>
    <s v="Yes"/>
  </r>
  <r>
    <n v="203"/>
    <x v="202"/>
    <d v="2024-07-21T00:00:00"/>
    <x v="6"/>
    <s v="Aarav Agarwal"/>
    <n v="55"/>
    <x v="0"/>
    <x v="0"/>
    <x v="7"/>
    <x v="2"/>
    <x v="4"/>
    <x v="4"/>
    <n v="3"/>
    <n v="1091"/>
    <x v="201"/>
    <x v="2"/>
    <x v="6"/>
    <n v="1"/>
    <s v="Yes"/>
  </r>
  <r>
    <n v="204"/>
    <x v="203"/>
    <d v="2024-07-22T00:00:00"/>
    <x v="6"/>
    <s v="Ishita Patel"/>
    <n v="18"/>
    <x v="2"/>
    <x v="1"/>
    <x v="5"/>
    <x v="3"/>
    <x v="1"/>
    <x v="11"/>
    <n v="1"/>
    <n v="28664"/>
    <x v="202"/>
    <x v="0"/>
    <x v="6"/>
    <n v="3"/>
    <s v="No"/>
  </r>
  <r>
    <n v="205"/>
    <x v="204"/>
    <d v="2024-07-23T00:00:00"/>
    <x v="6"/>
    <s v="Ananya Agarwal"/>
    <n v="31"/>
    <x v="1"/>
    <x v="0"/>
    <x v="4"/>
    <x v="3"/>
    <x v="0"/>
    <x v="0"/>
    <n v="9"/>
    <n v="36350"/>
    <x v="203"/>
    <x v="1"/>
    <x v="0"/>
    <n v="5"/>
    <s v="Yes"/>
  </r>
  <r>
    <n v="206"/>
    <x v="205"/>
    <d v="2024-07-24T00:00:00"/>
    <x v="6"/>
    <s v="Ishita Gupta"/>
    <n v="38"/>
    <x v="1"/>
    <x v="1"/>
    <x v="5"/>
    <x v="1"/>
    <x v="0"/>
    <x v="23"/>
    <n v="1"/>
    <n v="44369"/>
    <x v="204"/>
    <x v="3"/>
    <x v="6"/>
    <n v="4"/>
    <s v="No"/>
  </r>
  <r>
    <n v="207"/>
    <x v="206"/>
    <d v="2024-07-25T00:00:00"/>
    <x v="6"/>
    <s v="Vikram Agarwal"/>
    <n v="38"/>
    <x v="1"/>
    <x v="1"/>
    <x v="6"/>
    <x v="2"/>
    <x v="3"/>
    <x v="12"/>
    <n v="8"/>
    <n v="20420"/>
    <x v="205"/>
    <x v="0"/>
    <x v="1"/>
    <n v="1"/>
    <s v="No"/>
  </r>
  <r>
    <n v="208"/>
    <x v="207"/>
    <d v="2024-07-26T00:00:00"/>
    <x v="6"/>
    <s v="Vikram Patel"/>
    <n v="46"/>
    <x v="1"/>
    <x v="1"/>
    <x v="8"/>
    <x v="2"/>
    <x v="2"/>
    <x v="9"/>
    <n v="8"/>
    <n v="3846"/>
    <x v="206"/>
    <x v="0"/>
    <x v="4"/>
    <n v="5"/>
    <s v="No"/>
  </r>
  <r>
    <n v="209"/>
    <x v="208"/>
    <d v="2024-07-27T00:00:00"/>
    <x v="6"/>
    <s v="Kavya Jain"/>
    <n v="26"/>
    <x v="2"/>
    <x v="1"/>
    <x v="0"/>
    <x v="0"/>
    <x v="0"/>
    <x v="13"/>
    <n v="7"/>
    <n v="6950"/>
    <x v="207"/>
    <x v="3"/>
    <x v="0"/>
    <n v="4"/>
    <s v="Yes"/>
  </r>
  <r>
    <n v="210"/>
    <x v="209"/>
    <d v="2024-07-28T00:00:00"/>
    <x v="6"/>
    <s v="Sanya Bhatia"/>
    <n v="39"/>
    <x v="1"/>
    <x v="1"/>
    <x v="5"/>
    <x v="0"/>
    <x v="2"/>
    <x v="9"/>
    <n v="5"/>
    <n v="42872"/>
    <x v="208"/>
    <x v="4"/>
    <x v="9"/>
    <n v="4"/>
    <s v="Yes"/>
  </r>
  <r>
    <n v="211"/>
    <x v="210"/>
    <d v="2024-07-29T00:00:00"/>
    <x v="6"/>
    <s v="Tanvi Agarwal"/>
    <n v="49"/>
    <x v="1"/>
    <x v="1"/>
    <x v="9"/>
    <x v="0"/>
    <x v="4"/>
    <x v="15"/>
    <n v="6"/>
    <n v="1160"/>
    <x v="209"/>
    <x v="3"/>
    <x v="8"/>
    <n v="5"/>
    <s v="Yes"/>
  </r>
  <r>
    <n v="212"/>
    <x v="211"/>
    <d v="2024-07-30T00:00:00"/>
    <x v="6"/>
    <s v="Divya Malhotra"/>
    <n v="54"/>
    <x v="0"/>
    <x v="1"/>
    <x v="9"/>
    <x v="0"/>
    <x v="3"/>
    <x v="3"/>
    <n v="3"/>
    <n v="27490"/>
    <x v="210"/>
    <x v="3"/>
    <x v="7"/>
    <n v="4"/>
    <s v="Yes"/>
  </r>
  <r>
    <n v="213"/>
    <x v="212"/>
    <d v="2024-07-31T00:00:00"/>
    <x v="6"/>
    <s v="Rohan Bhatia"/>
    <n v="42"/>
    <x v="1"/>
    <x v="1"/>
    <x v="7"/>
    <x v="1"/>
    <x v="0"/>
    <x v="8"/>
    <n v="5"/>
    <n v="30318"/>
    <x v="211"/>
    <x v="1"/>
    <x v="1"/>
    <n v="4"/>
    <s v="No"/>
  </r>
  <r>
    <n v="214"/>
    <x v="213"/>
    <d v="2024-08-01T00:00:00"/>
    <x v="7"/>
    <s v="Sanya Roy"/>
    <n v="59"/>
    <x v="0"/>
    <x v="1"/>
    <x v="6"/>
    <x v="2"/>
    <x v="1"/>
    <x v="11"/>
    <n v="10"/>
    <n v="29619"/>
    <x v="212"/>
    <x v="2"/>
    <x v="9"/>
    <n v="3"/>
    <s v="No"/>
  </r>
  <r>
    <n v="215"/>
    <x v="214"/>
    <d v="2024-08-02T00:00:00"/>
    <x v="7"/>
    <s v="Tanvi Ghosh"/>
    <n v="39"/>
    <x v="1"/>
    <x v="0"/>
    <x v="0"/>
    <x v="2"/>
    <x v="0"/>
    <x v="13"/>
    <n v="5"/>
    <n v="36774"/>
    <x v="213"/>
    <x v="1"/>
    <x v="7"/>
    <n v="3"/>
    <s v="No"/>
  </r>
  <r>
    <n v="216"/>
    <x v="215"/>
    <d v="2024-08-03T00:00:00"/>
    <x v="7"/>
    <s v="Aditya Sen"/>
    <n v="21"/>
    <x v="2"/>
    <x v="1"/>
    <x v="5"/>
    <x v="2"/>
    <x v="2"/>
    <x v="18"/>
    <n v="4"/>
    <n v="18155"/>
    <x v="214"/>
    <x v="1"/>
    <x v="8"/>
    <n v="5"/>
    <s v="No"/>
  </r>
  <r>
    <n v="217"/>
    <x v="216"/>
    <d v="2024-08-04T00:00:00"/>
    <x v="7"/>
    <s v="Sneha Jain"/>
    <n v="25"/>
    <x v="2"/>
    <x v="1"/>
    <x v="6"/>
    <x v="1"/>
    <x v="0"/>
    <x v="0"/>
    <n v="3"/>
    <n v="13952"/>
    <x v="215"/>
    <x v="4"/>
    <x v="0"/>
    <n v="4"/>
    <s v="Yes"/>
  </r>
  <r>
    <n v="218"/>
    <x v="217"/>
    <d v="2024-08-05T00:00:00"/>
    <x v="7"/>
    <s v="Divya Gupta"/>
    <n v="55"/>
    <x v="0"/>
    <x v="0"/>
    <x v="2"/>
    <x v="3"/>
    <x v="3"/>
    <x v="24"/>
    <n v="9"/>
    <n v="17963"/>
    <x v="216"/>
    <x v="2"/>
    <x v="0"/>
    <n v="1"/>
    <s v="Yes"/>
  </r>
  <r>
    <n v="219"/>
    <x v="218"/>
    <d v="2024-08-06T00:00:00"/>
    <x v="7"/>
    <s v="Divya Bose"/>
    <n v="21"/>
    <x v="2"/>
    <x v="1"/>
    <x v="2"/>
    <x v="2"/>
    <x v="0"/>
    <x v="8"/>
    <n v="9"/>
    <n v="36829"/>
    <x v="217"/>
    <x v="2"/>
    <x v="3"/>
    <n v="4"/>
    <s v="No"/>
  </r>
  <r>
    <n v="220"/>
    <x v="219"/>
    <d v="2024-08-07T00:00:00"/>
    <x v="7"/>
    <s v="Ishita Ghosh"/>
    <n v="53"/>
    <x v="0"/>
    <x v="0"/>
    <x v="0"/>
    <x v="3"/>
    <x v="3"/>
    <x v="24"/>
    <n v="7"/>
    <n v="48420"/>
    <x v="218"/>
    <x v="4"/>
    <x v="0"/>
    <n v="2"/>
    <s v="No"/>
  </r>
  <r>
    <n v="221"/>
    <x v="220"/>
    <d v="2024-08-08T00:00:00"/>
    <x v="7"/>
    <s v="Sneha Chopra"/>
    <n v="22"/>
    <x v="2"/>
    <x v="1"/>
    <x v="9"/>
    <x v="2"/>
    <x v="4"/>
    <x v="4"/>
    <n v="1"/>
    <n v="235"/>
    <x v="219"/>
    <x v="4"/>
    <x v="4"/>
    <n v="5"/>
    <s v="Yes"/>
  </r>
  <r>
    <n v="222"/>
    <x v="221"/>
    <d v="2024-08-09T00:00:00"/>
    <x v="7"/>
    <s v="Arjun Bhatia"/>
    <n v="38"/>
    <x v="1"/>
    <x v="1"/>
    <x v="0"/>
    <x v="0"/>
    <x v="2"/>
    <x v="9"/>
    <n v="8"/>
    <n v="30741"/>
    <x v="220"/>
    <x v="4"/>
    <x v="6"/>
    <n v="4"/>
    <s v="No"/>
  </r>
  <r>
    <n v="223"/>
    <x v="222"/>
    <d v="2024-08-10T00:00:00"/>
    <x v="7"/>
    <s v="Sneha Verma"/>
    <n v="52"/>
    <x v="0"/>
    <x v="0"/>
    <x v="6"/>
    <x v="0"/>
    <x v="2"/>
    <x v="18"/>
    <n v="3"/>
    <n v="29078"/>
    <x v="221"/>
    <x v="1"/>
    <x v="4"/>
    <n v="2"/>
    <s v="Yes"/>
  </r>
  <r>
    <n v="224"/>
    <x v="223"/>
    <d v="2024-08-11T00:00:00"/>
    <x v="7"/>
    <s v="Arjun Gupta"/>
    <n v="18"/>
    <x v="2"/>
    <x v="0"/>
    <x v="7"/>
    <x v="1"/>
    <x v="2"/>
    <x v="6"/>
    <n v="10"/>
    <n v="43001"/>
    <x v="222"/>
    <x v="0"/>
    <x v="2"/>
    <n v="4"/>
    <s v="Yes"/>
  </r>
  <r>
    <n v="225"/>
    <x v="224"/>
    <d v="2024-08-12T00:00:00"/>
    <x v="7"/>
    <s v="Ishita Chopra"/>
    <n v="45"/>
    <x v="1"/>
    <x v="1"/>
    <x v="1"/>
    <x v="1"/>
    <x v="1"/>
    <x v="19"/>
    <n v="6"/>
    <n v="8301"/>
    <x v="223"/>
    <x v="0"/>
    <x v="0"/>
    <n v="5"/>
    <s v="Yes"/>
  </r>
  <r>
    <n v="226"/>
    <x v="225"/>
    <d v="2024-08-13T00:00:00"/>
    <x v="7"/>
    <s v="Aarav Roy"/>
    <n v="58"/>
    <x v="0"/>
    <x v="1"/>
    <x v="8"/>
    <x v="1"/>
    <x v="1"/>
    <x v="20"/>
    <n v="1"/>
    <n v="37692"/>
    <x v="224"/>
    <x v="0"/>
    <x v="8"/>
    <n v="3"/>
    <s v="Yes"/>
  </r>
  <r>
    <n v="227"/>
    <x v="226"/>
    <d v="2024-08-14T00:00:00"/>
    <x v="7"/>
    <s v="Neha Malhotra"/>
    <n v="48"/>
    <x v="1"/>
    <x v="1"/>
    <x v="2"/>
    <x v="2"/>
    <x v="1"/>
    <x v="19"/>
    <n v="10"/>
    <n v="41451"/>
    <x v="225"/>
    <x v="3"/>
    <x v="4"/>
    <n v="2"/>
    <s v="No"/>
  </r>
  <r>
    <n v="228"/>
    <x v="227"/>
    <d v="2024-08-15T00:00:00"/>
    <x v="7"/>
    <s v="Vikram Bose"/>
    <n v="32"/>
    <x v="1"/>
    <x v="0"/>
    <x v="4"/>
    <x v="3"/>
    <x v="0"/>
    <x v="0"/>
    <n v="5"/>
    <n v="39758"/>
    <x v="226"/>
    <x v="3"/>
    <x v="4"/>
    <n v="1"/>
    <s v="No"/>
  </r>
  <r>
    <n v="229"/>
    <x v="228"/>
    <d v="2024-08-16T00:00:00"/>
    <x v="7"/>
    <s v="Raj Kapoor"/>
    <n v="49"/>
    <x v="1"/>
    <x v="0"/>
    <x v="2"/>
    <x v="3"/>
    <x v="3"/>
    <x v="24"/>
    <n v="2"/>
    <n v="24148"/>
    <x v="227"/>
    <x v="0"/>
    <x v="1"/>
    <n v="5"/>
    <s v="Yes"/>
  </r>
  <r>
    <n v="230"/>
    <x v="229"/>
    <d v="2024-08-17T00:00:00"/>
    <x v="7"/>
    <s v="Ananya Bose"/>
    <n v="26"/>
    <x v="2"/>
    <x v="0"/>
    <x v="6"/>
    <x v="3"/>
    <x v="1"/>
    <x v="1"/>
    <n v="2"/>
    <n v="29241"/>
    <x v="228"/>
    <x v="2"/>
    <x v="0"/>
    <n v="1"/>
    <s v="Yes"/>
  </r>
  <r>
    <n v="231"/>
    <x v="230"/>
    <d v="2024-08-18T00:00:00"/>
    <x v="7"/>
    <s v="Priya Bose"/>
    <n v="23"/>
    <x v="2"/>
    <x v="1"/>
    <x v="9"/>
    <x v="0"/>
    <x v="2"/>
    <x v="18"/>
    <n v="4"/>
    <n v="8452"/>
    <x v="229"/>
    <x v="2"/>
    <x v="7"/>
    <n v="1"/>
    <s v="Yes"/>
  </r>
  <r>
    <n v="232"/>
    <x v="231"/>
    <d v="2024-08-19T00:00:00"/>
    <x v="7"/>
    <s v="Vikram Mehta"/>
    <n v="51"/>
    <x v="0"/>
    <x v="0"/>
    <x v="4"/>
    <x v="1"/>
    <x v="2"/>
    <x v="9"/>
    <n v="3"/>
    <n v="13647"/>
    <x v="230"/>
    <x v="3"/>
    <x v="8"/>
    <n v="4"/>
    <s v="Yes"/>
  </r>
  <r>
    <n v="233"/>
    <x v="232"/>
    <d v="2024-08-20T00:00:00"/>
    <x v="7"/>
    <s v="Ananya Chopra"/>
    <n v="41"/>
    <x v="1"/>
    <x v="0"/>
    <x v="6"/>
    <x v="3"/>
    <x v="0"/>
    <x v="13"/>
    <n v="1"/>
    <n v="4901"/>
    <x v="231"/>
    <x v="3"/>
    <x v="4"/>
    <n v="4"/>
    <s v="No"/>
  </r>
  <r>
    <n v="234"/>
    <x v="233"/>
    <d v="2024-08-21T00:00:00"/>
    <x v="7"/>
    <s v="Kunal Mehta"/>
    <n v="29"/>
    <x v="2"/>
    <x v="0"/>
    <x v="5"/>
    <x v="3"/>
    <x v="0"/>
    <x v="13"/>
    <n v="7"/>
    <n v="45247"/>
    <x v="232"/>
    <x v="2"/>
    <x v="7"/>
    <n v="1"/>
    <s v="Yes"/>
  </r>
  <r>
    <n v="235"/>
    <x v="234"/>
    <d v="2024-08-22T00:00:00"/>
    <x v="7"/>
    <s v="Kunal Jain"/>
    <n v="41"/>
    <x v="1"/>
    <x v="0"/>
    <x v="5"/>
    <x v="3"/>
    <x v="4"/>
    <x v="15"/>
    <n v="2"/>
    <n v="1482"/>
    <x v="233"/>
    <x v="0"/>
    <x v="8"/>
    <n v="4"/>
    <s v="No"/>
  </r>
  <r>
    <n v="236"/>
    <x v="235"/>
    <d v="2024-08-23T00:00:00"/>
    <x v="7"/>
    <s v="Ananya Sharma"/>
    <n v="58"/>
    <x v="0"/>
    <x v="1"/>
    <x v="8"/>
    <x v="1"/>
    <x v="3"/>
    <x v="12"/>
    <n v="4"/>
    <n v="44328"/>
    <x v="234"/>
    <x v="4"/>
    <x v="6"/>
    <n v="4"/>
    <s v="Yes"/>
  </r>
  <r>
    <n v="237"/>
    <x v="236"/>
    <d v="2024-08-24T00:00:00"/>
    <x v="7"/>
    <s v="Aditya Mehta"/>
    <n v="35"/>
    <x v="1"/>
    <x v="0"/>
    <x v="2"/>
    <x v="1"/>
    <x v="4"/>
    <x v="5"/>
    <n v="6"/>
    <n v="417"/>
    <x v="235"/>
    <x v="1"/>
    <x v="1"/>
    <n v="5"/>
    <s v="Yes"/>
  </r>
  <r>
    <n v="238"/>
    <x v="237"/>
    <d v="2024-08-25T00:00:00"/>
    <x v="7"/>
    <s v="Priya Iyer"/>
    <n v="60"/>
    <x v="0"/>
    <x v="1"/>
    <x v="1"/>
    <x v="2"/>
    <x v="3"/>
    <x v="22"/>
    <n v="5"/>
    <n v="44219"/>
    <x v="236"/>
    <x v="3"/>
    <x v="6"/>
    <n v="1"/>
    <s v="Yes"/>
  </r>
  <r>
    <n v="239"/>
    <x v="238"/>
    <d v="2024-08-26T00:00:00"/>
    <x v="7"/>
    <s v="Raj Chopra"/>
    <n v="18"/>
    <x v="2"/>
    <x v="1"/>
    <x v="8"/>
    <x v="2"/>
    <x v="1"/>
    <x v="1"/>
    <n v="1"/>
    <n v="13253"/>
    <x v="237"/>
    <x v="0"/>
    <x v="0"/>
    <n v="5"/>
    <s v="Yes"/>
  </r>
  <r>
    <n v="240"/>
    <x v="239"/>
    <d v="2024-08-27T00:00:00"/>
    <x v="7"/>
    <s v="Vikram Kapoor"/>
    <n v="48"/>
    <x v="1"/>
    <x v="0"/>
    <x v="5"/>
    <x v="1"/>
    <x v="1"/>
    <x v="1"/>
    <n v="8"/>
    <n v="35390"/>
    <x v="238"/>
    <x v="1"/>
    <x v="8"/>
    <n v="4"/>
    <s v="Yes"/>
  </r>
  <r>
    <n v="241"/>
    <x v="240"/>
    <d v="2024-08-28T00:00:00"/>
    <x v="7"/>
    <s v="Sanya Ghosh"/>
    <n v="54"/>
    <x v="0"/>
    <x v="1"/>
    <x v="9"/>
    <x v="1"/>
    <x v="1"/>
    <x v="11"/>
    <n v="1"/>
    <n v="8082"/>
    <x v="239"/>
    <x v="2"/>
    <x v="4"/>
    <n v="1"/>
    <s v="No"/>
  </r>
  <r>
    <n v="242"/>
    <x v="241"/>
    <d v="2024-08-29T00:00:00"/>
    <x v="7"/>
    <s v="Meera Malhotra"/>
    <n v="40"/>
    <x v="1"/>
    <x v="0"/>
    <x v="4"/>
    <x v="0"/>
    <x v="1"/>
    <x v="21"/>
    <n v="4"/>
    <n v="16082"/>
    <x v="240"/>
    <x v="0"/>
    <x v="1"/>
    <n v="3"/>
    <s v="Yes"/>
  </r>
  <r>
    <n v="243"/>
    <x v="242"/>
    <d v="2024-08-30T00:00:00"/>
    <x v="7"/>
    <s v="Raj Iyer"/>
    <n v="30"/>
    <x v="1"/>
    <x v="0"/>
    <x v="3"/>
    <x v="0"/>
    <x v="3"/>
    <x v="3"/>
    <n v="5"/>
    <n v="11056"/>
    <x v="241"/>
    <x v="4"/>
    <x v="8"/>
    <n v="4"/>
    <s v="No"/>
  </r>
  <r>
    <n v="244"/>
    <x v="243"/>
    <d v="2024-08-31T00:00:00"/>
    <x v="7"/>
    <s v="Sanya Gupta"/>
    <n v="38"/>
    <x v="1"/>
    <x v="0"/>
    <x v="1"/>
    <x v="0"/>
    <x v="4"/>
    <x v="10"/>
    <n v="8"/>
    <n v="465"/>
    <x v="242"/>
    <x v="3"/>
    <x v="6"/>
    <n v="5"/>
    <s v="No"/>
  </r>
  <r>
    <n v="245"/>
    <x v="244"/>
    <d v="2024-09-01T00:00:00"/>
    <x v="8"/>
    <s v="Priya Nair"/>
    <n v="31"/>
    <x v="1"/>
    <x v="0"/>
    <x v="1"/>
    <x v="3"/>
    <x v="4"/>
    <x v="15"/>
    <n v="8"/>
    <n v="260"/>
    <x v="243"/>
    <x v="1"/>
    <x v="9"/>
    <n v="2"/>
    <s v="Yes"/>
  </r>
  <r>
    <n v="246"/>
    <x v="245"/>
    <d v="2024-09-02T00:00:00"/>
    <x v="8"/>
    <s v="Sanya Patel"/>
    <n v="43"/>
    <x v="1"/>
    <x v="1"/>
    <x v="5"/>
    <x v="0"/>
    <x v="0"/>
    <x v="0"/>
    <n v="8"/>
    <n v="34234"/>
    <x v="244"/>
    <x v="0"/>
    <x v="4"/>
    <n v="5"/>
    <s v="Yes"/>
  </r>
  <r>
    <n v="247"/>
    <x v="246"/>
    <d v="2024-09-03T00:00:00"/>
    <x v="8"/>
    <s v="Raj Iyer"/>
    <n v="21"/>
    <x v="2"/>
    <x v="0"/>
    <x v="9"/>
    <x v="2"/>
    <x v="3"/>
    <x v="24"/>
    <n v="3"/>
    <n v="6036"/>
    <x v="245"/>
    <x v="1"/>
    <x v="4"/>
    <n v="5"/>
    <s v="Yes"/>
  </r>
  <r>
    <n v="248"/>
    <x v="247"/>
    <d v="2024-09-04T00:00:00"/>
    <x v="8"/>
    <s v="Vikram Malhotra"/>
    <n v="37"/>
    <x v="1"/>
    <x v="0"/>
    <x v="8"/>
    <x v="1"/>
    <x v="3"/>
    <x v="24"/>
    <n v="1"/>
    <n v="19826"/>
    <x v="246"/>
    <x v="1"/>
    <x v="3"/>
    <n v="4"/>
    <s v="No"/>
  </r>
  <r>
    <n v="249"/>
    <x v="248"/>
    <d v="2024-09-05T00:00:00"/>
    <x v="8"/>
    <s v="Ravi Verma"/>
    <n v="40"/>
    <x v="1"/>
    <x v="0"/>
    <x v="3"/>
    <x v="2"/>
    <x v="2"/>
    <x v="18"/>
    <n v="4"/>
    <n v="33463"/>
    <x v="247"/>
    <x v="1"/>
    <x v="6"/>
    <n v="3"/>
    <s v="No"/>
  </r>
  <r>
    <n v="250"/>
    <x v="249"/>
    <d v="2024-09-06T00:00:00"/>
    <x v="8"/>
    <s v="Divya Nair"/>
    <n v="58"/>
    <x v="0"/>
    <x v="1"/>
    <x v="3"/>
    <x v="3"/>
    <x v="1"/>
    <x v="11"/>
    <n v="8"/>
    <n v="22746"/>
    <x v="248"/>
    <x v="2"/>
    <x v="5"/>
    <n v="3"/>
    <s v="No"/>
  </r>
  <r>
    <n v="251"/>
    <x v="250"/>
    <d v="2024-09-07T00:00:00"/>
    <x v="8"/>
    <s v="Pooja Bhatia"/>
    <n v="40"/>
    <x v="1"/>
    <x v="1"/>
    <x v="2"/>
    <x v="0"/>
    <x v="2"/>
    <x v="6"/>
    <n v="10"/>
    <n v="634"/>
    <x v="249"/>
    <x v="2"/>
    <x v="1"/>
    <n v="4"/>
    <s v="No"/>
  </r>
  <r>
    <n v="252"/>
    <x v="251"/>
    <d v="2024-09-08T00:00:00"/>
    <x v="8"/>
    <s v="Vikram Roy"/>
    <n v="20"/>
    <x v="2"/>
    <x v="1"/>
    <x v="0"/>
    <x v="1"/>
    <x v="2"/>
    <x v="6"/>
    <n v="8"/>
    <n v="27608"/>
    <x v="250"/>
    <x v="4"/>
    <x v="3"/>
    <n v="2"/>
    <s v="No"/>
  </r>
  <r>
    <n v="253"/>
    <x v="252"/>
    <d v="2024-09-09T00:00:00"/>
    <x v="8"/>
    <s v="Aditya Das"/>
    <n v="39"/>
    <x v="1"/>
    <x v="1"/>
    <x v="7"/>
    <x v="2"/>
    <x v="3"/>
    <x v="24"/>
    <n v="10"/>
    <n v="37299"/>
    <x v="251"/>
    <x v="1"/>
    <x v="9"/>
    <n v="3"/>
    <s v="No"/>
  </r>
  <r>
    <n v="254"/>
    <x v="253"/>
    <d v="2024-09-10T00:00:00"/>
    <x v="8"/>
    <s v="Divya Bhatia"/>
    <n v="50"/>
    <x v="0"/>
    <x v="1"/>
    <x v="3"/>
    <x v="3"/>
    <x v="2"/>
    <x v="14"/>
    <n v="8"/>
    <n v="25489"/>
    <x v="252"/>
    <x v="3"/>
    <x v="7"/>
    <n v="4"/>
    <s v="Yes"/>
  </r>
  <r>
    <n v="255"/>
    <x v="254"/>
    <d v="2024-09-11T00:00:00"/>
    <x v="8"/>
    <s v="Manish Agarwal"/>
    <n v="52"/>
    <x v="0"/>
    <x v="1"/>
    <x v="6"/>
    <x v="3"/>
    <x v="3"/>
    <x v="16"/>
    <n v="7"/>
    <n v="9712"/>
    <x v="253"/>
    <x v="2"/>
    <x v="4"/>
    <n v="3"/>
    <s v="Yes"/>
  </r>
  <r>
    <n v="256"/>
    <x v="255"/>
    <d v="2024-09-12T00:00:00"/>
    <x v="8"/>
    <s v="Sanya Sen"/>
    <n v="36"/>
    <x v="1"/>
    <x v="1"/>
    <x v="3"/>
    <x v="1"/>
    <x v="1"/>
    <x v="1"/>
    <n v="1"/>
    <n v="19218"/>
    <x v="254"/>
    <x v="1"/>
    <x v="7"/>
    <n v="5"/>
    <s v="No"/>
  </r>
  <r>
    <n v="257"/>
    <x v="256"/>
    <d v="2024-09-13T00:00:00"/>
    <x v="8"/>
    <s v="Ishita Das"/>
    <n v="59"/>
    <x v="0"/>
    <x v="0"/>
    <x v="1"/>
    <x v="3"/>
    <x v="1"/>
    <x v="11"/>
    <n v="6"/>
    <n v="13312"/>
    <x v="255"/>
    <x v="0"/>
    <x v="2"/>
    <n v="3"/>
    <s v="No"/>
  </r>
  <r>
    <n v="258"/>
    <x v="257"/>
    <d v="2024-09-14T00:00:00"/>
    <x v="8"/>
    <s v="Kunal Patel"/>
    <n v="50"/>
    <x v="0"/>
    <x v="0"/>
    <x v="0"/>
    <x v="2"/>
    <x v="0"/>
    <x v="23"/>
    <n v="2"/>
    <n v="8723"/>
    <x v="256"/>
    <x v="4"/>
    <x v="3"/>
    <n v="4"/>
    <s v="No"/>
  </r>
  <r>
    <n v="259"/>
    <x v="258"/>
    <d v="2024-09-15T00:00:00"/>
    <x v="8"/>
    <s v="Ananya Iyer"/>
    <n v="42"/>
    <x v="1"/>
    <x v="0"/>
    <x v="3"/>
    <x v="0"/>
    <x v="3"/>
    <x v="22"/>
    <n v="8"/>
    <n v="36987"/>
    <x v="257"/>
    <x v="1"/>
    <x v="0"/>
    <n v="2"/>
    <s v="No"/>
  </r>
  <r>
    <n v="260"/>
    <x v="259"/>
    <d v="2024-09-16T00:00:00"/>
    <x v="8"/>
    <s v="Ananya Ghosh"/>
    <n v="59"/>
    <x v="0"/>
    <x v="0"/>
    <x v="3"/>
    <x v="3"/>
    <x v="0"/>
    <x v="8"/>
    <n v="2"/>
    <n v="22073"/>
    <x v="258"/>
    <x v="1"/>
    <x v="9"/>
    <n v="5"/>
    <s v="Yes"/>
  </r>
  <r>
    <n v="261"/>
    <x v="260"/>
    <d v="2024-09-17T00:00:00"/>
    <x v="8"/>
    <s v="Sanya Gupta"/>
    <n v="49"/>
    <x v="1"/>
    <x v="1"/>
    <x v="2"/>
    <x v="1"/>
    <x v="2"/>
    <x v="6"/>
    <n v="3"/>
    <n v="46951"/>
    <x v="259"/>
    <x v="0"/>
    <x v="0"/>
    <n v="3"/>
    <s v="No"/>
  </r>
  <r>
    <n v="262"/>
    <x v="261"/>
    <d v="2024-09-18T00:00:00"/>
    <x v="8"/>
    <s v="Aditya Verma"/>
    <n v="48"/>
    <x v="1"/>
    <x v="1"/>
    <x v="9"/>
    <x v="1"/>
    <x v="1"/>
    <x v="1"/>
    <n v="9"/>
    <n v="21277"/>
    <x v="260"/>
    <x v="1"/>
    <x v="2"/>
    <n v="4"/>
    <s v="No"/>
  </r>
  <r>
    <n v="263"/>
    <x v="262"/>
    <d v="2024-09-19T00:00:00"/>
    <x v="8"/>
    <s v="Ravi Malhotra"/>
    <n v="38"/>
    <x v="1"/>
    <x v="0"/>
    <x v="4"/>
    <x v="1"/>
    <x v="3"/>
    <x v="12"/>
    <n v="6"/>
    <n v="44931"/>
    <x v="261"/>
    <x v="3"/>
    <x v="1"/>
    <n v="1"/>
    <s v="No"/>
  </r>
  <r>
    <n v="264"/>
    <x v="263"/>
    <d v="2024-09-20T00:00:00"/>
    <x v="8"/>
    <s v="Vikram Jain"/>
    <n v="35"/>
    <x v="1"/>
    <x v="1"/>
    <x v="2"/>
    <x v="0"/>
    <x v="1"/>
    <x v="20"/>
    <n v="3"/>
    <n v="9270"/>
    <x v="262"/>
    <x v="1"/>
    <x v="3"/>
    <n v="5"/>
    <s v="Yes"/>
  </r>
  <r>
    <n v="265"/>
    <x v="264"/>
    <d v="2024-09-21T00:00:00"/>
    <x v="8"/>
    <s v="Rohan Patel"/>
    <n v="53"/>
    <x v="0"/>
    <x v="0"/>
    <x v="1"/>
    <x v="3"/>
    <x v="0"/>
    <x v="17"/>
    <n v="1"/>
    <n v="35585"/>
    <x v="263"/>
    <x v="2"/>
    <x v="6"/>
    <n v="2"/>
    <s v="No"/>
  </r>
  <r>
    <n v="266"/>
    <x v="265"/>
    <d v="2024-09-22T00:00:00"/>
    <x v="8"/>
    <s v="Neha Sen"/>
    <n v="19"/>
    <x v="2"/>
    <x v="0"/>
    <x v="0"/>
    <x v="3"/>
    <x v="0"/>
    <x v="17"/>
    <n v="3"/>
    <n v="4738"/>
    <x v="264"/>
    <x v="1"/>
    <x v="2"/>
    <n v="1"/>
    <s v="No"/>
  </r>
  <r>
    <n v="267"/>
    <x v="266"/>
    <d v="2024-09-23T00:00:00"/>
    <x v="8"/>
    <s v="Sanya Ghosh"/>
    <n v="30"/>
    <x v="1"/>
    <x v="0"/>
    <x v="4"/>
    <x v="1"/>
    <x v="2"/>
    <x v="14"/>
    <n v="8"/>
    <n v="23857"/>
    <x v="265"/>
    <x v="2"/>
    <x v="7"/>
    <n v="1"/>
    <s v="No"/>
  </r>
  <r>
    <n v="268"/>
    <x v="267"/>
    <d v="2024-09-24T00:00:00"/>
    <x v="8"/>
    <s v="Priya Agarwal"/>
    <n v="36"/>
    <x v="1"/>
    <x v="1"/>
    <x v="6"/>
    <x v="2"/>
    <x v="3"/>
    <x v="12"/>
    <n v="6"/>
    <n v="49435"/>
    <x v="266"/>
    <x v="4"/>
    <x v="2"/>
    <n v="5"/>
    <s v="No"/>
  </r>
  <r>
    <n v="269"/>
    <x v="268"/>
    <d v="2024-09-25T00:00:00"/>
    <x v="8"/>
    <s v="Pooja Patel"/>
    <n v="56"/>
    <x v="0"/>
    <x v="1"/>
    <x v="1"/>
    <x v="1"/>
    <x v="3"/>
    <x v="12"/>
    <n v="4"/>
    <n v="29639"/>
    <x v="267"/>
    <x v="2"/>
    <x v="6"/>
    <n v="1"/>
    <s v="Yes"/>
  </r>
  <r>
    <n v="270"/>
    <x v="269"/>
    <d v="2024-09-26T00:00:00"/>
    <x v="8"/>
    <s v="Kavya Mehta"/>
    <n v="18"/>
    <x v="2"/>
    <x v="1"/>
    <x v="1"/>
    <x v="3"/>
    <x v="2"/>
    <x v="2"/>
    <n v="7"/>
    <n v="31734"/>
    <x v="268"/>
    <x v="2"/>
    <x v="6"/>
    <n v="5"/>
    <s v="No"/>
  </r>
  <r>
    <n v="271"/>
    <x v="270"/>
    <d v="2024-09-27T00:00:00"/>
    <x v="8"/>
    <s v="Meera Gupta"/>
    <n v="43"/>
    <x v="1"/>
    <x v="1"/>
    <x v="6"/>
    <x v="3"/>
    <x v="2"/>
    <x v="6"/>
    <n v="10"/>
    <n v="49044"/>
    <x v="269"/>
    <x v="3"/>
    <x v="5"/>
    <n v="4"/>
    <s v="No"/>
  </r>
  <r>
    <n v="272"/>
    <x v="271"/>
    <d v="2024-09-28T00:00:00"/>
    <x v="8"/>
    <s v="Aditya Bose"/>
    <n v="33"/>
    <x v="1"/>
    <x v="0"/>
    <x v="8"/>
    <x v="3"/>
    <x v="1"/>
    <x v="21"/>
    <n v="10"/>
    <n v="10502"/>
    <x v="270"/>
    <x v="1"/>
    <x v="6"/>
    <n v="5"/>
    <s v="Yes"/>
  </r>
  <r>
    <n v="273"/>
    <x v="272"/>
    <d v="2024-09-29T00:00:00"/>
    <x v="8"/>
    <s v="Ravi Bose"/>
    <n v="27"/>
    <x v="2"/>
    <x v="0"/>
    <x v="6"/>
    <x v="0"/>
    <x v="3"/>
    <x v="24"/>
    <n v="5"/>
    <n v="33123"/>
    <x v="271"/>
    <x v="3"/>
    <x v="6"/>
    <n v="5"/>
    <s v="No"/>
  </r>
  <r>
    <n v="274"/>
    <x v="273"/>
    <d v="2024-09-30T00:00:00"/>
    <x v="8"/>
    <s v="Kunal Iyer"/>
    <n v="52"/>
    <x v="0"/>
    <x v="1"/>
    <x v="2"/>
    <x v="3"/>
    <x v="0"/>
    <x v="23"/>
    <n v="9"/>
    <n v="1505"/>
    <x v="272"/>
    <x v="3"/>
    <x v="2"/>
    <n v="1"/>
    <s v="No"/>
  </r>
  <r>
    <n v="275"/>
    <x v="274"/>
    <d v="2024-10-01T00:00:00"/>
    <x v="9"/>
    <s v="Rohan Kapoor"/>
    <n v="19"/>
    <x v="2"/>
    <x v="1"/>
    <x v="9"/>
    <x v="1"/>
    <x v="2"/>
    <x v="2"/>
    <n v="1"/>
    <n v="15203"/>
    <x v="273"/>
    <x v="3"/>
    <x v="1"/>
    <n v="3"/>
    <s v="Yes"/>
  </r>
  <r>
    <n v="276"/>
    <x v="275"/>
    <d v="2024-10-02T00:00:00"/>
    <x v="9"/>
    <s v="Divya Sharma"/>
    <n v="43"/>
    <x v="1"/>
    <x v="1"/>
    <x v="7"/>
    <x v="3"/>
    <x v="4"/>
    <x v="10"/>
    <n v="2"/>
    <n v="1182"/>
    <x v="274"/>
    <x v="0"/>
    <x v="1"/>
    <n v="3"/>
    <s v="Yes"/>
  </r>
  <r>
    <n v="277"/>
    <x v="276"/>
    <d v="2024-10-03T00:00:00"/>
    <x v="9"/>
    <s v="Aarav Jain"/>
    <n v="27"/>
    <x v="2"/>
    <x v="0"/>
    <x v="0"/>
    <x v="2"/>
    <x v="2"/>
    <x v="18"/>
    <n v="7"/>
    <n v="11955"/>
    <x v="275"/>
    <x v="0"/>
    <x v="7"/>
    <n v="1"/>
    <s v="Yes"/>
  </r>
  <r>
    <n v="278"/>
    <x v="277"/>
    <d v="2024-10-04T00:00:00"/>
    <x v="9"/>
    <s v="Ananya Singh"/>
    <n v="36"/>
    <x v="1"/>
    <x v="0"/>
    <x v="8"/>
    <x v="0"/>
    <x v="1"/>
    <x v="20"/>
    <n v="3"/>
    <n v="1037"/>
    <x v="276"/>
    <x v="0"/>
    <x v="0"/>
    <n v="4"/>
    <s v="No"/>
  </r>
  <r>
    <n v="279"/>
    <x v="278"/>
    <d v="2024-10-05T00:00:00"/>
    <x v="9"/>
    <s v="Arjun Bose"/>
    <n v="60"/>
    <x v="0"/>
    <x v="1"/>
    <x v="4"/>
    <x v="2"/>
    <x v="1"/>
    <x v="11"/>
    <n v="8"/>
    <n v="7351"/>
    <x v="277"/>
    <x v="3"/>
    <x v="4"/>
    <n v="1"/>
    <s v="No"/>
  </r>
  <r>
    <n v="280"/>
    <x v="279"/>
    <d v="2024-10-06T00:00:00"/>
    <x v="9"/>
    <s v="Sanya Chopra"/>
    <n v="43"/>
    <x v="1"/>
    <x v="0"/>
    <x v="2"/>
    <x v="1"/>
    <x v="4"/>
    <x v="4"/>
    <n v="4"/>
    <n v="400"/>
    <x v="278"/>
    <x v="4"/>
    <x v="3"/>
    <n v="3"/>
    <s v="No"/>
  </r>
  <r>
    <n v="281"/>
    <x v="280"/>
    <d v="2024-10-07T00:00:00"/>
    <x v="9"/>
    <s v="Aditya Chopra"/>
    <n v="29"/>
    <x v="2"/>
    <x v="0"/>
    <x v="1"/>
    <x v="0"/>
    <x v="4"/>
    <x v="7"/>
    <n v="9"/>
    <n v="1612"/>
    <x v="279"/>
    <x v="1"/>
    <x v="1"/>
    <n v="5"/>
    <s v="No"/>
  </r>
  <r>
    <n v="282"/>
    <x v="281"/>
    <d v="2024-10-08T00:00:00"/>
    <x v="9"/>
    <s v="Pooja Nair"/>
    <n v="32"/>
    <x v="1"/>
    <x v="0"/>
    <x v="8"/>
    <x v="1"/>
    <x v="2"/>
    <x v="18"/>
    <n v="4"/>
    <n v="1561"/>
    <x v="280"/>
    <x v="2"/>
    <x v="8"/>
    <n v="4"/>
    <s v="No"/>
  </r>
  <r>
    <n v="283"/>
    <x v="282"/>
    <d v="2024-10-09T00:00:00"/>
    <x v="9"/>
    <s v="Neha Kapoor"/>
    <n v="43"/>
    <x v="1"/>
    <x v="0"/>
    <x v="2"/>
    <x v="1"/>
    <x v="3"/>
    <x v="24"/>
    <n v="4"/>
    <n v="43154"/>
    <x v="281"/>
    <x v="0"/>
    <x v="2"/>
    <n v="4"/>
    <s v="Yes"/>
  </r>
  <r>
    <n v="284"/>
    <x v="283"/>
    <d v="2024-10-10T00:00:00"/>
    <x v="9"/>
    <s v="Vikram Kapoor"/>
    <n v="59"/>
    <x v="0"/>
    <x v="0"/>
    <x v="0"/>
    <x v="2"/>
    <x v="4"/>
    <x v="4"/>
    <n v="6"/>
    <n v="1581"/>
    <x v="282"/>
    <x v="2"/>
    <x v="5"/>
    <n v="4"/>
    <s v="No"/>
  </r>
  <r>
    <n v="285"/>
    <x v="284"/>
    <d v="2024-10-11T00:00:00"/>
    <x v="9"/>
    <s v="Meera Ghosh"/>
    <n v="54"/>
    <x v="0"/>
    <x v="1"/>
    <x v="5"/>
    <x v="1"/>
    <x v="2"/>
    <x v="2"/>
    <n v="1"/>
    <n v="8504"/>
    <x v="283"/>
    <x v="0"/>
    <x v="4"/>
    <n v="3"/>
    <s v="Yes"/>
  </r>
  <r>
    <n v="286"/>
    <x v="285"/>
    <d v="2024-10-12T00:00:00"/>
    <x v="9"/>
    <s v="Kavya Roy"/>
    <n v="57"/>
    <x v="0"/>
    <x v="1"/>
    <x v="8"/>
    <x v="0"/>
    <x v="2"/>
    <x v="14"/>
    <n v="9"/>
    <n v="29056"/>
    <x v="284"/>
    <x v="2"/>
    <x v="3"/>
    <n v="1"/>
    <s v="Yes"/>
  </r>
  <r>
    <n v="287"/>
    <x v="286"/>
    <d v="2024-10-13T00:00:00"/>
    <x v="9"/>
    <s v="Pooja Agarwal"/>
    <n v="55"/>
    <x v="0"/>
    <x v="0"/>
    <x v="7"/>
    <x v="0"/>
    <x v="3"/>
    <x v="22"/>
    <n v="6"/>
    <n v="41743"/>
    <x v="285"/>
    <x v="3"/>
    <x v="7"/>
    <n v="4"/>
    <s v="Yes"/>
  </r>
  <r>
    <n v="288"/>
    <x v="287"/>
    <d v="2024-10-14T00:00:00"/>
    <x v="9"/>
    <s v="Sanya Nair"/>
    <n v="19"/>
    <x v="2"/>
    <x v="0"/>
    <x v="5"/>
    <x v="3"/>
    <x v="3"/>
    <x v="16"/>
    <n v="3"/>
    <n v="22531"/>
    <x v="286"/>
    <x v="4"/>
    <x v="3"/>
    <n v="1"/>
    <s v="Yes"/>
  </r>
  <r>
    <n v="289"/>
    <x v="288"/>
    <d v="2024-10-15T00:00:00"/>
    <x v="9"/>
    <s v="Raj Gupta"/>
    <n v="23"/>
    <x v="2"/>
    <x v="0"/>
    <x v="9"/>
    <x v="1"/>
    <x v="2"/>
    <x v="18"/>
    <n v="8"/>
    <n v="11531"/>
    <x v="287"/>
    <x v="0"/>
    <x v="9"/>
    <n v="1"/>
    <s v="No"/>
  </r>
  <r>
    <n v="290"/>
    <x v="289"/>
    <d v="2024-10-16T00:00:00"/>
    <x v="9"/>
    <s v="Divya Nair"/>
    <n v="55"/>
    <x v="0"/>
    <x v="0"/>
    <x v="9"/>
    <x v="2"/>
    <x v="0"/>
    <x v="0"/>
    <n v="7"/>
    <n v="27519"/>
    <x v="288"/>
    <x v="1"/>
    <x v="8"/>
    <n v="2"/>
    <s v="Yes"/>
  </r>
  <r>
    <n v="291"/>
    <x v="290"/>
    <d v="2024-10-17T00:00:00"/>
    <x v="9"/>
    <s v="Arjun Agarwal"/>
    <n v="40"/>
    <x v="1"/>
    <x v="0"/>
    <x v="0"/>
    <x v="0"/>
    <x v="1"/>
    <x v="20"/>
    <n v="1"/>
    <n v="37288"/>
    <x v="289"/>
    <x v="3"/>
    <x v="9"/>
    <n v="4"/>
    <s v="No"/>
  </r>
  <r>
    <n v="292"/>
    <x v="291"/>
    <d v="2024-10-18T00:00:00"/>
    <x v="9"/>
    <s v="Ananya Roy"/>
    <n v="42"/>
    <x v="1"/>
    <x v="0"/>
    <x v="4"/>
    <x v="2"/>
    <x v="3"/>
    <x v="16"/>
    <n v="7"/>
    <n v="43120"/>
    <x v="290"/>
    <x v="3"/>
    <x v="8"/>
    <n v="5"/>
    <s v="No"/>
  </r>
  <r>
    <n v="293"/>
    <x v="292"/>
    <d v="2024-10-19T00:00:00"/>
    <x v="9"/>
    <s v="Ishita Reddy"/>
    <n v="42"/>
    <x v="1"/>
    <x v="1"/>
    <x v="9"/>
    <x v="1"/>
    <x v="1"/>
    <x v="20"/>
    <n v="6"/>
    <n v="29294"/>
    <x v="291"/>
    <x v="3"/>
    <x v="9"/>
    <n v="2"/>
    <s v="No"/>
  </r>
  <r>
    <n v="294"/>
    <x v="293"/>
    <d v="2024-10-20T00:00:00"/>
    <x v="9"/>
    <s v="Ishita Kapoor"/>
    <n v="28"/>
    <x v="2"/>
    <x v="1"/>
    <x v="4"/>
    <x v="2"/>
    <x v="2"/>
    <x v="18"/>
    <n v="4"/>
    <n v="16553"/>
    <x v="292"/>
    <x v="3"/>
    <x v="3"/>
    <n v="3"/>
    <s v="Yes"/>
  </r>
  <r>
    <n v="295"/>
    <x v="294"/>
    <d v="2024-10-21T00:00:00"/>
    <x v="9"/>
    <s v="Meera Kapoor"/>
    <n v="18"/>
    <x v="2"/>
    <x v="1"/>
    <x v="0"/>
    <x v="0"/>
    <x v="1"/>
    <x v="1"/>
    <n v="1"/>
    <n v="2952"/>
    <x v="293"/>
    <x v="2"/>
    <x v="8"/>
    <n v="5"/>
    <s v="Yes"/>
  </r>
  <r>
    <n v="296"/>
    <x v="295"/>
    <d v="2024-10-22T00:00:00"/>
    <x v="9"/>
    <s v="Meera Nair"/>
    <n v="57"/>
    <x v="0"/>
    <x v="1"/>
    <x v="5"/>
    <x v="1"/>
    <x v="4"/>
    <x v="4"/>
    <n v="5"/>
    <n v="463"/>
    <x v="294"/>
    <x v="4"/>
    <x v="2"/>
    <n v="2"/>
    <s v="Yes"/>
  </r>
  <r>
    <n v="297"/>
    <x v="296"/>
    <d v="2024-10-23T00:00:00"/>
    <x v="9"/>
    <s v="Sanya Bose"/>
    <n v="39"/>
    <x v="1"/>
    <x v="1"/>
    <x v="0"/>
    <x v="3"/>
    <x v="2"/>
    <x v="9"/>
    <n v="7"/>
    <n v="42670"/>
    <x v="295"/>
    <x v="1"/>
    <x v="1"/>
    <n v="2"/>
    <s v="No"/>
  </r>
  <r>
    <n v="298"/>
    <x v="297"/>
    <d v="2024-10-24T00:00:00"/>
    <x v="9"/>
    <s v="Raj Sen"/>
    <n v="55"/>
    <x v="0"/>
    <x v="0"/>
    <x v="2"/>
    <x v="0"/>
    <x v="0"/>
    <x v="23"/>
    <n v="2"/>
    <n v="2889"/>
    <x v="296"/>
    <x v="2"/>
    <x v="7"/>
    <n v="2"/>
    <s v="No"/>
  </r>
  <r>
    <n v="299"/>
    <x v="298"/>
    <d v="2024-10-25T00:00:00"/>
    <x v="9"/>
    <s v="Aditya Singh"/>
    <n v="23"/>
    <x v="2"/>
    <x v="1"/>
    <x v="6"/>
    <x v="3"/>
    <x v="2"/>
    <x v="6"/>
    <n v="3"/>
    <n v="22791"/>
    <x v="297"/>
    <x v="3"/>
    <x v="8"/>
    <n v="5"/>
    <s v="No"/>
  </r>
  <r>
    <n v="300"/>
    <x v="299"/>
    <d v="2024-10-26T00:00:00"/>
    <x v="9"/>
    <s v="Priya Agarwal"/>
    <n v="39"/>
    <x v="1"/>
    <x v="1"/>
    <x v="5"/>
    <x v="3"/>
    <x v="3"/>
    <x v="24"/>
    <n v="3"/>
    <n v="45071"/>
    <x v="298"/>
    <x v="0"/>
    <x v="8"/>
    <n v="2"/>
    <s v="Yes"/>
  </r>
  <r>
    <n v="301"/>
    <x v="300"/>
    <d v="2024-10-27T00:00:00"/>
    <x v="9"/>
    <s v="Pooja Gupta"/>
    <n v="30"/>
    <x v="1"/>
    <x v="1"/>
    <x v="3"/>
    <x v="3"/>
    <x v="2"/>
    <x v="18"/>
    <n v="2"/>
    <n v="9622"/>
    <x v="299"/>
    <x v="3"/>
    <x v="9"/>
    <n v="1"/>
    <s v="Yes"/>
  </r>
  <r>
    <n v="302"/>
    <x v="301"/>
    <d v="2024-10-28T00:00:00"/>
    <x v="9"/>
    <s v="Ravi Singh"/>
    <n v="44"/>
    <x v="1"/>
    <x v="1"/>
    <x v="2"/>
    <x v="3"/>
    <x v="4"/>
    <x v="10"/>
    <n v="9"/>
    <n v="723"/>
    <x v="300"/>
    <x v="0"/>
    <x v="6"/>
    <n v="3"/>
    <s v="Yes"/>
  </r>
  <r>
    <n v="303"/>
    <x v="302"/>
    <d v="2024-10-29T00:00:00"/>
    <x v="9"/>
    <s v="Ishita Gupta"/>
    <n v="28"/>
    <x v="2"/>
    <x v="0"/>
    <x v="1"/>
    <x v="3"/>
    <x v="3"/>
    <x v="3"/>
    <n v="1"/>
    <n v="43969"/>
    <x v="301"/>
    <x v="2"/>
    <x v="6"/>
    <n v="1"/>
    <s v="Yes"/>
  </r>
  <r>
    <n v="304"/>
    <x v="303"/>
    <d v="2024-10-30T00:00:00"/>
    <x v="9"/>
    <s v="Rohan Malhotra"/>
    <n v="45"/>
    <x v="1"/>
    <x v="0"/>
    <x v="9"/>
    <x v="0"/>
    <x v="2"/>
    <x v="6"/>
    <n v="7"/>
    <n v="24138"/>
    <x v="302"/>
    <x v="1"/>
    <x v="7"/>
    <n v="3"/>
    <s v="No"/>
  </r>
  <r>
    <n v="305"/>
    <x v="304"/>
    <d v="2024-10-31T00:00:00"/>
    <x v="9"/>
    <s v="Ravi Kapoor"/>
    <n v="36"/>
    <x v="1"/>
    <x v="1"/>
    <x v="2"/>
    <x v="3"/>
    <x v="4"/>
    <x v="4"/>
    <n v="6"/>
    <n v="1339"/>
    <x v="303"/>
    <x v="4"/>
    <x v="4"/>
    <n v="5"/>
    <s v="No"/>
  </r>
  <r>
    <n v="306"/>
    <x v="305"/>
    <d v="2024-11-01T00:00:00"/>
    <x v="10"/>
    <s v="Rohan Sen"/>
    <n v="60"/>
    <x v="0"/>
    <x v="0"/>
    <x v="4"/>
    <x v="1"/>
    <x v="4"/>
    <x v="7"/>
    <n v="1"/>
    <n v="702"/>
    <x v="304"/>
    <x v="3"/>
    <x v="3"/>
    <n v="2"/>
    <s v="No"/>
  </r>
  <r>
    <n v="307"/>
    <x v="306"/>
    <d v="2024-11-02T00:00:00"/>
    <x v="10"/>
    <s v="Kunal Singh"/>
    <n v="41"/>
    <x v="1"/>
    <x v="1"/>
    <x v="2"/>
    <x v="1"/>
    <x v="1"/>
    <x v="19"/>
    <n v="5"/>
    <n v="41283"/>
    <x v="305"/>
    <x v="2"/>
    <x v="8"/>
    <n v="5"/>
    <s v="Yes"/>
  </r>
  <r>
    <n v="308"/>
    <x v="307"/>
    <d v="2024-11-03T00:00:00"/>
    <x v="10"/>
    <s v="Ishita Nair"/>
    <n v="47"/>
    <x v="1"/>
    <x v="0"/>
    <x v="2"/>
    <x v="1"/>
    <x v="1"/>
    <x v="21"/>
    <n v="6"/>
    <n v="5422"/>
    <x v="306"/>
    <x v="1"/>
    <x v="5"/>
    <n v="5"/>
    <s v="Yes"/>
  </r>
  <r>
    <n v="309"/>
    <x v="308"/>
    <d v="2024-11-04T00:00:00"/>
    <x v="10"/>
    <s v="Pooja Malhotra"/>
    <n v="52"/>
    <x v="0"/>
    <x v="1"/>
    <x v="8"/>
    <x v="2"/>
    <x v="4"/>
    <x v="5"/>
    <n v="3"/>
    <n v="534"/>
    <x v="307"/>
    <x v="2"/>
    <x v="3"/>
    <n v="3"/>
    <s v="Yes"/>
  </r>
  <r>
    <n v="310"/>
    <x v="309"/>
    <d v="2024-11-05T00:00:00"/>
    <x v="10"/>
    <s v="Divya Roy"/>
    <n v="56"/>
    <x v="0"/>
    <x v="0"/>
    <x v="4"/>
    <x v="2"/>
    <x v="1"/>
    <x v="1"/>
    <n v="5"/>
    <n v="11569"/>
    <x v="308"/>
    <x v="2"/>
    <x v="3"/>
    <n v="3"/>
    <s v="Yes"/>
  </r>
  <r>
    <n v="311"/>
    <x v="310"/>
    <d v="2024-11-06T00:00:00"/>
    <x v="10"/>
    <s v="Ishita Agarwal"/>
    <n v="59"/>
    <x v="0"/>
    <x v="0"/>
    <x v="2"/>
    <x v="0"/>
    <x v="1"/>
    <x v="1"/>
    <n v="6"/>
    <n v="45617"/>
    <x v="309"/>
    <x v="0"/>
    <x v="7"/>
    <n v="4"/>
    <s v="No"/>
  </r>
  <r>
    <n v="312"/>
    <x v="311"/>
    <d v="2024-11-07T00:00:00"/>
    <x v="10"/>
    <s v="Aditya Iyer"/>
    <n v="39"/>
    <x v="1"/>
    <x v="0"/>
    <x v="2"/>
    <x v="0"/>
    <x v="2"/>
    <x v="6"/>
    <n v="7"/>
    <n v="1774"/>
    <x v="310"/>
    <x v="2"/>
    <x v="3"/>
    <n v="3"/>
    <s v="Yes"/>
  </r>
  <r>
    <n v="313"/>
    <x v="312"/>
    <d v="2024-11-08T00:00:00"/>
    <x v="10"/>
    <s v="Ravi Reddy"/>
    <n v="39"/>
    <x v="1"/>
    <x v="0"/>
    <x v="2"/>
    <x v="0"/>
    <x v="2"/>
    <x v="9"/>
    <n v="3"/>
    <n v="21906"/>
    <x v="311"/>
    <x v="1"/>
    <x v="3"/>
    <n v="5"/>
    <s v="No"/>
  </r>
  <r>
    <n v="314"/>
    <x v="313"/>
    <d v="2024-11-09T00:00:00"/>
    <x v="10"/>
    <s v="Ravi Bose"/>
    <n v="36"/>
    <x v="1"/>
    <x v="1"/>
    <x v="8"/>
    <x v="1"/>
    <x v="1"/>
    <x v="11"/>
    <n v="4"/>
    <n v="5837"/>
    <x v="312"/>
    <x v="2"/>
    <x v="1"/>
    <n v="1"/>
    <s v="Yes"/>
  </r>
  <r>
    <n v="315"/>
    <x v="314"/>
    <d v="2024-11-10T00:00:00"/>
    <x v="10"/>
    <s v="Ishita Bhatia"/>
    <n v="39"/>
    <x v="1"/>
    <x v="0"/>
    <x v="3"/>
    <x v="3"/>
    <x v="2"/>
    <x v="14"/>
    <n v="9"/>
    <n v="7268"/>
    <x v="313"/>
    <x v="0"/>
    <x v="2"/>
    <n v="3"/>
    <s v="No"/>
  </r>
  <r>
    <n v="316"/>
    <x v="315"/>
    <d v="2024-11-11T00:00:00"/>
    <x v="10"/>
    <s v="Ravi Das"/>
    <n v="29"/>
    <x v="2"/>
    <x v="0"/>
    <x v="3"/>
    <x v="1"/>
    <x v="0"/>
    <x v="0"/>
    <n v="2"/>
    <n v="22463"/>
    <x v="314"/>
    <x v="0"/>
    <x v="0"/>
    <n v="5"/>
    <s v="No"/>
  </r>
  <r>
    <n v="317"/>
    <x v="316"/>
    <d v="2024-11-12T00:00:00"/>
    <x v="10"/>
    <s v="Neha Singh"/>
    <n v="18"/>
    <x v="2"/>
    <x v="1"/>
    <x v="4"/>
    <x v="2"/>
    <x v="2"/>
    <x v="18"/>
    <n v="10"/>
    <n v="20772"/>
    <x v="315"/>
    <x v="3"/>
    <x v="6"/>
    <n v="5"/>
    <s v="No"/>
  </r>
  <r>
    <n v="318"/>
    <x v="317"/>
    <d v="2024-11-13T00:00:00"/>
    <x v="10"/>
    <s v="Ravi Gupta"/>
    <n v="39"/>
    <x v="1"/>
    <x v="1"/>
    <x v="7"/>
    <x v="0"/>
    <x v="0"/>
    <x v="13"/>
    <n v="7"/>
    <n v="36724"/>
    <x v="316"/>
    <x v="1"/>
    <x v="0"/>
    <n v="4"/>
    <s v="Yes"/>
  </r>
  <r>
    <n v="319"/>
    <x v="318"/>
    <d v="2024-11-14T00:00:00"/>
    <x v="10"/>
    <s v="Ravi Mehta"/>
    <n v="47"/>
    <x v="1"/>
    <x v="1"/>
    <x v="4"/>
    <x v="1"/>
    <x v="0"/>
    <x v="23"/>
    <n v="8"/>
    <n v="12261"/>
    <x v="317"/>
    <x v="2"/>
    <x v="1"/>
    <n v="5"/>
    <s v="Yes"/>
  </r>
  <r>
    <n v="320"/>
    <x v="319"/>
    <d v="2024-11-15T00:00:00"/>
    <x v="10"/>
    <s v="Kavya Sharma"/>
    <n v="36"/>
    <x v="1"/>
    <x v="1"/>
    <x v="9"/>
    <x v="3"/>
    <x v="2"/>
    <x v="6"/>
    <n v="1"/>
    <n v="4564"/>
    <x v="318"/>
    <x v="0"/>
    <x v="6"/>
    <n v="3"/>
    <s v="Yes"/>
  </r>
  <r>
    <n v="321"/>
    <x v="320"/>
    <d v="2024-11-16T00:00:00"/>
    <x v="10"/>
    <s v="Rohan Gupta"/>
    <n v="37"/>
    <x v="1"/>
    <x v="0"/>
    <x v="5"/>
    <x v="0"/>
    <x v="4"/>
    <x v="10"/>
    <n v="7"/>
    <n v="1533"/>
    <x v="319"/>
    <x v="2"/>
    <x v="9"/>
    <n v="1"/>
    <s v="Yes"/>
  </r>
  <r>
    <n v="322"/>
    <x v="321"/>
    <d v="2024-11-17T00:00:00"/>
    <x v="10"/>
    <s v="Aarav Ghosh"/>
    <n v="60"/>
    <x v="0"/>
    <x v="1"/>
    <x v="3"/>
    <x v="3"/>
    <x v="3"/>
    <x v="3"/>
    <n v="4"/>
    <n v="29179"/>
    <x v="320"/>
    <x v="4"/>
    <x v="3"/>
    <n v="3"/>
    <s v="Yes"/>
  </r>
  <r>
    <n v="323"/>
    <x v="322"/>
    <d v="2024-11-18T00:00:00"/>
    <x v="10"/>
    <s v="Kavya Agarwal"/>
    <n v="34"/>
    <x v="1"/>
    <x v="1"/>
    <x v="2"/>
    <x v="2"/>
    <x v="4"/>
    <x v="10"/>
    <n v="7"/>
    <n v="1291"/>
    <x v="321"/>
    <x v="2"/>
    <x v="0"/>
    <n v="4"/>
    <s v="Yes"/>
  </r>
  <r>
    <n v="324"/>
    <x v="323"/>
    <d v="2024-11-19T00:00:00"/>
    <x v="10"/>
    <s v="Kavya Singh"/>
    <n v="50"/>
    <x v="0"/>
    <x v="1"/>
    <x v="1"/>
    <x v="0"/>
    <x v="3"/>
    <x v="24"/>
    <n v="6"/>
    <n v="7868"/>
    <x v="322"/>
    <x v="2"/>
    <x v="6"/>
    <n v="5"/>
    <s v="No"/>
  </r>
  <r>
    <n v="325"/>
    <x v="324"/>
    <d v="2024-11-20T00:00:00"/>
    <x v="10"/>
    <s v="Pooja Mehta"/>
    <n v="29"/>
    <x v="2"/>
    <x v="1"/>
    <x v="4"/>
    <x v="0"/>
    <x v="0"/>
    <x v="23"/>
    <n v="3"/>
    <n v="32702"/>
    <x v="323"/>
    <x v="0"/>
    <x v="2"/>
    <n v="2"/>
    <s v="No"/>
  </r>
  <r>
    <n v="326"/>
    <x v="325"/>
    <d v="2024-11-21T00:00:00"/>
    <x v="10"/>
    <s v="Kavya Agarwal"/>
    <n v="21"/>
    <x v="2"/>
    <x v="1"/>
    <x v="4"/>
    <x v="2"/>
    <x v="0"/>
    <x v="0"/>
    <n v="3"/>
    <n v="3666"/>
    <x v="324"/>
    <x v="1"/>
    <x v="3"/>
    <n v="4"/>
    <s v="No"/>
  </r>
  <r>
    <n v="327"/>
    <x v="326"/>
    <d v="2024-11-22T00:00:00"/>
    <x v="10"/>
    <s v="Sneha Bhatia"/>
    <n v="37"/>
    <x v="1"/>
    <x v="1"/>
    <x v="9"/>
    <x v="2"/>
    <x v="4"/>
    <x v="15"/>
    <n v="3"/>
    <n v="1449"/>
    <x v="325"/>
    <x v="4"/>
    <x v="6"/>
    <n v="2"/>
    <s v="No"/>
  </r>
  <r>
    <n v="328"/>
    <x v="327"/>
    <d v="2024-11-23T00:00:00"/>
    <x v="10"/>
    <s v="Sanya Verma"/>
    <n v="32"/>
    <x v="1"/>
    <x v="0"/>
    <x v="6"/>
    <x v="0"/>
    <x v="0"/>
    <x v="23"/>
    <n v="9"/>
    <n v="49670"/>
    <x v="326"/>
    <x v="4"/>
    <x v="1"/>
    <n v="5"/>
    <s v="Yes"/>
  </r>
  <r>
    <n v="329"/>
    <x v="328"/>
    <d v="2024-11-24T00:00:00"/>
    <x v="10"/>
    <s v="Aditya Bose"/>
    <n v="34"/>
    <x v="1"/>
    <x v="1"/>
    <x v="2"/>
    <x v="1"/>
    <x v="1"/>
    <x v="1"/>
    <n v="8"/>
    <n v="38657"/>
    <x v="327"/>
    <x v="1"/>
    <x v="3"/>
    <n v="5"/>
    <s v="No"/>
  </r>
  <r>
    <n v="330"/>
    <x v="329"/>
    <d v="2024-11-25T00:00:00"/>
    <x v="10"/>
    <s v="Manish Nair"/>
    <n v="53"/>
    <x v="0"/>
    <x v="0"/>
    <x v="9"/>
    <x v="2"/>
    <x v="3"/>
    <x v="12"/>
    <n v="6"/>
    <n v="14573"/>
    <x v="328"/>
    <x v="4"/>
    <x v="5"/>
    <n v="4"/>
    <s v="Yes"/>
  </r>
  <r>
    <n v="331"/>
    <x v="330"/>
    <d v="2024-11-26T00:00:00"/>
    <x v="10"/>
    <s v="Divya Bhatia"/>
    <n v="45"/>
    <x v="1"/>
    <x v="1"/>
    <x v="1"/>
    <x v="1"/>
    <x v="4"/>
    <x v="4"/>
    <n v="6"/>
    <n v="947"/>
    <x v="329"/>
    <x v="2"/>
    <x v="8"/>
    <n v="1"/>
    <s v="Yes"/>
  </r>
  <r>
    <n v="332"/>
    <x v="331"/>
    <d v="2024-11-27T00:00:00"/>
    <x v="10"/>
    <s v="Priya Verma"/>
    <n v="53"/>
    <x v="0"/>
    <x v="1"/>
    <x v="0"/>
    <x v="3"/>
    <x v="3"/>
    <x v="16"/>
    <n v="6"/>
    <n v="13542"/>
    <x v="330"/>
    <x v="1"/>
    <x v="5"/>
    <n v="4"/>
    <s v="No"/>
  </r>
  <r>
    <n v="333"/>
    <x v="332"/>
    <d v="2024-11-28T00:00:00"/>
    <x v="10"/>
    <s v="Ananya Verma"/>
    <n v="47"/>
    <x v="1"/>
    <x v="0"/>
    <x v="0"/>
    <x v="2"/>
    <x v="4"/>
    <x v="7"/>
    <n v="4"/>
    <n v="1015"/>
    <x v="331"/>
    <x v="3"/>
    <x v="9"/>
    <n v="5"/>
    <s v="No"/>
  </r>
  <r>
    <n v="334"/>
    <x v="333"/>
    <d v="2024-11-29T00:00:00"/>
    <x v="10"/>
    <s v="Ishita Kapoor"/>
    <n v="43"/>
    <x v="1"/>
    <x v="0"/>
    <x v="0"/>
    <x v="3"/>
    <x v="0"/>
    <x v="17"/>
    <n v="10"/>
    <n v="34283"/>
    <x v="332"/>
    <x v="1"/>
    <x v="9"/>
    <n v="1"/>
    <s v="No"/>
  </r>
  <r>
    <n v="335"/>
    <x v="334"/>
    <d v="2024-11-30T00:00:00"/>
    <x v="10"/>
    <s v="Kunal Sen"/>
    <n v="19"/>
    <x v="2"/>
    <x v="0"/>
    <x v="9"/>
    <x v="2"/>
    <x v="1"/>
    <x v="19"/>
    <n v="2"/>
    <n v="36460"/>
    <x v="333"/>
    <x v="0"/>
    <x v="6"/>
    <n v="5"/>
    <s v="No"/>
  </r>
  <r>
    <n v="336"/>
    <x v="335"/>
    <d v="2024-12-01T00:00:00"/>
    <x v="11"/>
    <s v="Ravi Gupta"/>
    <n v="41"/>
    <x v="1"/>
    <x v="1"/>
    <x v="0"/>
    <x v="3"/>
    <x v="4"/>
    <x v="10"/>
    <n v="8"/>
    <n v="680"/>
    <x v="334"/>
    <x v="0"/>
    <x v="9"/>
    <n v="4"/>
    <s v="No"/>
  </r>
  <r>
    <n v="337"/>
    <x v="336"/>
    <d v="2024-12-02T00:00:00"/>
    <x v="11"/>
    <s v="Tanvi Bhatia"/>
    <n v="58"/>
    <x v="0"/>
    <x v="0"/>
    <x v="2"/>
    <x v="1"/>
    <x v="0"/>
    <x v="17"/>
    <n v="6"/>
    <n v="14687"/>
    <x v="335"/>
    <x v="3"/>
    <x v="9"/>
    <n v="3"/>
    <s v="No"/>
  </r>
  <r>
    <n v="338"/>
    <x v="337"/>
    <d v="2024-12-03T00:00:00"/>
    <x v="11"/>
    <s v="Pooja Das"/>
    <n v="30"/>
    <x v="1"/>
    <x v="1"/>
    <x v="9"/>
    <x v="0"/>
    <x v="0"/>
    <x v="17"/>
    <n v="3"/>
    <n v="29662"/>
    <x v="336"/>
    <x v="0"/>
    <x v="3"/>
    <n v="4"/>
    <s v="Yes"/>
  </r>
  <r>
    <n v="339"/>
    <x v="338"/>
    <d v="2024-12-04T00:00:00"/>
    <x v="11"/>
    <s v="Kavya Jain"/>
    <n v="38"/>
    <x v="1"/>
    <x v="1"/>
    <x v="5"/>
    <x v="3"/>
    <x v="2"/>
    <x v="6"/>
    <n v="9"/>
    <n v="23624"/>
    <x v="337"/>
    <x v="2"/>
    <x v="7"/>
    <n v="2"/>
    <s v="Yes"/>
  </r>
  <r>
    <n v="340"/>
    <x v="339"/>
    <d v="2024-12-05T00:00:00"/>
    <x v="11"/>
    <s v="Pooja Kapoor"/>
    <n v="39"/>
    <x v="1"/>
    <x v="1"/>
    <x v="7"/>
    <x v="3"/>
    <x v="2"/>
    <x v="14"/>
    <n v="1"/>
    <n v="40097"/>
    <x v="338"/>
    <x v="0"/>
    <x v="1"/>
    <n v="1"/>
    <s v="Yes"/>
  </r>
  <r>
    <n v="341"/>
    <x v="340"/>
    <d v="2024-12-06T00:00:00"/>
    <x v="11"/>
    <s v="Ravi Das"/>
    <n v="41"/>
    <x v="1"/>
    <x v="0"/>
    <x v="3"/>
    <x v="1"/>
    <x v="1"/>
    <x v="21"/>
    <n v="7"/>
    <n v="33314"/>
    <x v="339"/>
    <x v="2"/>
    <x v="2"/>
    <n v="2"/>
    <s v="No"/>
  </r>
  <r>
    <n v="342"/>
    <x v="341"/>
    <d v="2024-12-07T00:00:00"/>
    <x v="11"/>
    <s v="Ananya Ghosh"/>
    <n v="52"/>
    <x v="0"/>
    <x v="1"/>
    <x v="5"/>
    <x v="2"/>
    <x v="3"/>
    <x v="3"/>
    <n v="4"/>
    <n v="16236"/>
    <x v="340"/>
    <x v="1"/>
    <x v="4"/>
    <n v="2"/>
    <s v="Yes"/>
  </r>
  <r>
    <n v="343"/>
    <x v="342"/>
    <d v="2024-12-08T00:00:00"/>
    <x v="11"/>
    <s v="Neha Sharma"/>
    <n v="53"/>
    <x v="0"/>
    <x v="0"/>
    <x v="6"/>
    <x v="2"/>
    <x v="2"/>
    <x v="2"/>
    <n v="10"/>
    <n v="18834"/>
    <x v="341"/>
    <x v="0"/>
    <x v="8"/>
    <n v="4"/>
    <s v="No"/>
  </r>
  <r>
    <n v="344"/>
    <x v="343"/>
    <d v="2024-12-09T00:00:00"/>
    <x v="11"/>
    <s v="Neha Das"/>
    <n v="60"/>
    <x v="0"/>
    <x v="0"/>
    <x v="4"/>
    <x v="1"/>
    <x v="2"/>
    <x v="14"/>
    <n v="10"/>
    <n v="44639"/>
    <x v="342"/>
    <x v="0"/>
    <x v="1"/>
    <n v="2"/>
    <s v="Yes"/>
  </r>
  <r>
    <n v="345"/>
    <x v="344"/>
    <d v="2024-12-10T00:00:00"/>
    <x v="11"/>
    <s v="Divya Bose"/>
    <n v="18"/>
    <x v="2"/>
    <x v="0"/>
    <x v="2"/>
    <x v="2"/>
    <x v="0"/>
    <x v="13"/>
    <n v="10"/>
    <n v="38730"/>
    <x v="343"/>
    <x v="2"/>
    <x v="0"/>
    <n v="1"/>
    <s v="Yes"/>
  </r>
  <r>
    <n v="346"/>
    <x v="345"/>
    <d v="2024-12-11T00:00:00"/>
    <x v="11"/>
    <s v="Ishita Roy"/>
    <n v="39"/>
    <x v="1"/>
    <x v="0"/>
    <x v="7"/>
    <x v="2"/>
    <x v="4"/>
    <x v="10"/>
    <n v="8"/>
    <n v="1179"/>
    <x v="344"/>
    <x v="3"/>
    <x v="4"/>
    <n v="5"/>
    <s v="Yes"/>
  </r>
  <r>
    <n v="347"/>
    <x v="346"/>
    <d v="2024-12-12T00:00:00"/>
    <x v="11"/>
    <s v="Priya Jain"/>
    <n v="57"/>
    <x v="0"/>
    <x v="1"/>
    <x v="8"/>
    <x v="3"/>
    <x v="3"/>
    <x v="24"/>
    <n v="5"/>
    <n v="9477"/>
    <x v="345"/>
    <x v="1"/>
    <x v="9"/>
    <n v="2"/>
    <s v="Yes"/>
  </r>
  <r>
    <n v="348"/>
    <x v="347"/>
    <d v="2024-12-13T00:00:00"/>
    <x v="11"/>
    <s v="Aditya Jain"/>
    <n v="27"/>
    <x v="2"/>
    <x v="0"/>
    <x v="2"/>
    <x v="2"/>
    <x v="3"/>
    <x v="16"/>
    <n v="9"/>
    <n v="21754"/>
    <x v="346"/>
    <x v="2"/>
    <x v="8"/>
    <n v="4"/>
    <s v="No"/>
  </r>
  <r>
    <n v="349"/>
    <x v="348"/>
    <d v="2024-12-14T00:00:00"/>
    <x v="11"/>
    <s v="Aarav Iyer"/>
    <n v="40"/>
    <x v="1"/>
    <x v="1"/>
    <x v="4"/>
    <x v="2"/>
    <x v="3"/>
    <x v="22"/>
    <n v="3"/>
    <n v="43186"/>
    <x v="347"/>
    <x v="4"/>
    <x v="3"/>
    <n v="5"/>
    <s v="No"/>
  </r>
  <r>
    <n v="350"/>
    <x v="349"/>
    <d v="2024-12-15T00:00:00"/>
    <x v="11"/>
    <s v="Divya Sharma"/>
    <n v="56"/>
    <x v="0"/>
    <x v="0"/>
    <x v="6"/>
    <x v="3"/>
    <x v="4"/>
    <x v="7"/>
    <n v="7"/>
    <n v="474"/>
    <x v="348"/>
    <x v="3"/>
    <x v="2"/>
    <n v="2"/>
    <s v="No"/>
  </r>
  <r>
    <n v="351"/>
    <x v="350"/>
    <d v="2024-12-16T00:00:00"/>
    <x v="11"/>
    <s v="Sanya Malhotra"/>
    <n v="53"/>
    <x v="0"/>
    <x v="1"/>
    <x v="1"/>
    <x v="1"/>
    <x v="2"/>
    <x v="14"/>
    <n v="7"/>
    <n v="32219"/>
    <x v="349"/>
    <x v="2"/>
    <x v="7"/>
    <n v="4"/>
    <s v="No"/>
  </r>
  <r>
    <n v="352"/>
    <x v="351"/>
    <d v="2024-12-17T00:00:00"/>
    <x v="11"/>
    <s v="Neha Reddy"/>
    <n v="31"/>
    <x v="1"/>
    <x v="0"/>
    <x v="7"/>
    <x v="1"/>
    <x v="4"/>
    <x v="7"/>
    <n v="6"/>
    <n v="1165"/>
    <x v="350"/>
    <x v="1"/>
    <x v="1"/>
    <n v="4"/>
    <s v="No"/>
  </r>
  <r>
    <n v="353"/>
    <x v="352"/>
    <d v="2024-12-18T00:00:00"/>
    <x v="11"/>
    <s v="Rohan Gupta"/>
    <n v="23"/>
    <x v="2"/>
    <x v="1"/>
    <x v="6"/>
    <x v="3"/>
    <x v="1"/>
    <x v="11"/>
    <n v="2"/>
    <n v="20527"/>
    <x v="351"/>
    <x v="0"/>
    <x v="7"/>
    <n v="1"/>
    <s v="Yes"/>
  </r>
  <r>
    <n v="354"/>
    <x v="353"/>
    <d v="2024-12-19T00:00:00"/>
    <x v="11"/>
    <s v="Manish Ghosh"/>
    <n v="30"/>
    <x v="1"/>
    <x v="0"/>
    <x v="2"/>
    <x v="0"/>
    <x v="2"/>
    <x v="9"/>
    <n v="1"/>
    <n v="38334"/>
    <x v="352"/>
    <x v="2"/>
    <x v="2"/>
    <n v="5"/>
    <s v="Yes"/>
  </r>
  <r>
    <n v="355"/>
    <x v="354"/>
    <d v="2024-12-20T00:00:00"/>
    <x v="11"/>
    <s v="Meera Ghosh"/>
    <n v="46"/>
    <x v="1"/>
    <x v="0"/>
    <x v="5"/>
    <x v="2"/>
    <x v="0"/>
    <x v="0"/>
    <n v="2"/>
    <n v="37674"/>
    <x v="353"/>
    <x v="3"/>
    <x v="7"/>
    <n v="4"/>
    <s v="Yes"/>
  </r>
  <r>
    <n v="356"/>
    <x v="355"/>
    <d v="2024-12-21T00:00:00"/>
    <x v="11"/>
    <s v="Kunal Reddy"/>
    <n v="40"/>
    <x v="1"/>
    <x v="1"/>
    <x v="2"/>
    <x v="1"/>
    <x v="1"/>
    <x v="20"/>
    <n v="8"/>
    <n v="16978"/>
    <x v="354"/>
    <x v="0"/>
    <x v="4"/>
    <n v="1"/>
    <s v="No"/>
  </r>
  <r>
    <n v="357"/>
    <x v="356"/>
    <d v="2024-12-22T00:00:00"/>
    <x v="11"/>
    <s v="Kunal Chopra"/>
    <n v="37"/>
    <x v="1"/>
    <x v="1"/>
    <x v="5"/>
    <x v="3"/>
    <x v="3"/>
    <x v="12"/>
    <n v="8"/>
    <n v="1435"/>
    <x v="355"/>
    <x v="0"/>
    <x v="2"/>
    <n v="4"/>
    <s v="Yes"/>
  </r>
  <r>
    <n v="358"/>
    <x v="357"/>
    <d v="2024-12-23T00:00:00"/>
    <x v="11"/>
    <s v="Aarav Nair"/>
    <n v="45"/>
    <x v="1"/>
    <x v="0"/>
    <x v="4"/>
    <x v="2"/>
    <x v="1"/>
    <x v="21"/>
    <n v="7"/>
    <n v="35924"/>
    <x v="356"/>
    <x v="4"/>
    <x v="4"/>
    <n v="4"/>
    <s v="Yes"/>
  </r>
  <r>
    <n v="359"/>
    <x v="358"/>
    <d v="2024-12-24T00:00:00"/>
    <x v="11"/>
    <s v="Rohan Mehta"/>
    <n v="26"/>
    <x v="2"/>
    <x v="1"/>
    <x v="8"/>
    <x v="1"/>
    <x v="3"/>
    <x v="12"/>
    <n v="2"/>
    <n v="27461"/>
    <x v="357"/>
    <x v="0"/>
    <x v="6"/>
    <n v="2"/>
    <s v="Yes"/>
  </r>
  <r>
    <n v="360"/>
    <x v="359"/>
    <d v="2024-12-25T00:00:00"/>
    <x v="11"/>
    <s v="Kavya Ghosh"/>
    <n v="24"/>
    <x v="2"/>
    <x v="1"/>
    <x v="8"/>
    <x v="0"/>
    <x v="4"/>
    <x v="5"/>
    <n v="9"/>
    <n v="463"/>
    <x v="358"/>
    <x v="3"/>
    <x v="7"/>
    <n v="3"/>
    <s v="Yes"/>
  </r>
  <r>
    <n v="361"/>
    <x v="360"/>
    <d v="2024-12-26T00:00:00"/>
    <x v="11"/>
    <s v="Tanvi Verma"/>
    <n v="54"/>
    <x v="0"/>
    <x v="0"/>
    <x v="5"/>
    <x v="3"/>
    <x v="2"/>
    <x v="9"/>
    <n v="8"/>
    <n v="2993"/>
    <x v="359"/>
    <x v="1"/>
    <x v="4"/>
    <n v="4"/>
    <s v="No"/>
  </r>
  <r>
    <n v="362"/>
    <x v="361"/>
    <d v="2024-12-27T00:00:00"/>
    <x v="11"/>
    <s v="Kunal Kapoor"/>
    <n v="58"/>
    <x v="0"/>
    <x v="1"/>
    <x v="2"/>
    <x v="0"/>
    <x v="3"/>
    <x v="22"/>
    <n v="9"/>
    <n v="10569"/>
    <x v="360"/>
    <x v="2"/>
    <x v="0"/>
    <n v="5"/>
    <s v="No"/>
  </r>
  <r>
    <n v="363"/>
    <x v="362"/>
    <d v="2024-12-28T00:00:00"/>
    <x v="11"/>
    <s v="Meera Ghosh"/>
    <n v="60"/>
    <x v="0"/>
    <x v="0"/>
    <x v="6"/>
    <x v="1"/>
    <x v="4"/>
    <x v="5"/>
    <n v="1"/>
    <n v="1236"/>
    <x v="361"/>
    <x v="2"/>
    <x v="1"/>
    <n v="3"/>
    <s v="Yes"/>
  </r>
  <r>
    <n v="364"/>
    <x v="363"/>
    <d v="2024-12-29T00:00:00"/>
    <x v="11"/>
    <s v="Rohan Ghosh"/>
    <n v="54"/>
    <x v="0"/>
    <x v="1"/>
    <x v="1"/>
    <x v="3"/>
    <x v="1"/>
    <x v="11"/>
    <n v="1"/>
    <n v="35978"/>
    <x v="362"/>
    <x v="3"/>
    <x v="9"/>
    <n v="4"/>
    <s v="No"/>
  </r>
  <r>
    <n v="365"/>
    <x v="364"/>
    <d v="2024-12-30T00:00:00"/>
    <x v="11"/>
    <s v="Kunal Gupta"/>
    <n v="57"/>
    <x v="0"/>
    <x v="1"/>
    <x v="7"/>
    <x v="3"/>
    <x v="3"/>
    <x v="12"/>
    <n v="4"/>
    <n v="48202"/>
    <x v="363"/>
    <x v="2"/>
    <x v="7"/>
    <n v="2"/>
    <s v="Yes"/>
  </r>
  <r>
    <n v="366"/>
    <x v="365"/>
    <d v="2024-12-31T00:00:00"/>
    <x v="11"/>
    <s v="Priya Bose"/>
    <n v="57"/>
    <x v="0"/>
    <x v="0"/>
    <x v="0"/>
    <x v="2"/>
    <x v="0"/>
    <x v="0"/>
    <n v="1"/>
    <n v="10171"/>
    <x v="364"/>
    <x v="3"/>
    <x v="5"/>
    <n v="1"/>
    <s v="Yes"/>
  </r>
  <r>
    <n v="367"/>
    <x v="366"/>
    <d v="2025-01-01T00:00:00"/>
    <x v="0"/>
    <s v="Tanvi Sen"/>
    <n v="58"/>
    <x v="0"/>
    <x v="0"/>
    <x v="5"/>
    <x v="0"/>
    <x v="0"/>
    <x v="13"/>
    <n v="5"/>
    <n v="11612"/>
    <x v="365"/>
    <x v="4"/>
    <x v="6"/>
    <n v="2"/>
    <s v="No"/>
  </r>
  <r>
    <n v="368"/>
    <x v="367"/>
    <d v="2025-01-02T00:00:00"/>
    <x v="0"/>
    <s v="Sneha Mehta"/>
    <n v="36"/>
    <x v="1"/>
    <x v="0"/>
    <x v="8"/>
    <x v="0"/>
    <x v="3"/>
    <x v="12"/>
    <n v="4"/>
    <n v="20176"/>
    <x v="366"/>
    <x v="2"/>
    <x v="1"/>
    <n v="4"/>
    <s v="No"/>
  </r>
  <r>
    <n v="369"/>
    <x v="368"/>
    <d v="2025-01-03T00:00:00"/>
    <x v="0"/>
    <s v="Sneha Verma"/>
    <n v="55"/>
    <x v="0"/>
    <x v="0"/>
    <x v="4"/>
    <x v="3"/>
    <x v="1"/>
    <x v="21"/>
    <n v="2"/>
    <n v="30606"/>
    <x v="367"/>
    <x v="0"/>
    <x v="2"/>
    <n v="2"/>
    <s v="Yes"/>
  </r>
  <r>
    <n v="370"/>
    <x v="369"/>
    <d v="2025-01-04T00:00:00"/>
    <x v="0"/>
    <s v="Ravi Mehta"/>
    <n v="58"/>
    <x v="0"/>
    <x v="0"/>
    <x v="9"/>
    <x v="3"/>
    <x v="3"/>
    <x v="12"/>
    <n v="5"/>
    <n v="6526"/>
    <x v="368"/>
    <x v="4"/>
    <x v="0"/>
    <n v="3"/>
    <s v="No"/>
  </r>
  <r>
    <n v="371"/>
    <x v="370"/>
    <d v="2025-01-05T00:00:00"/>
    <x v="0"/>
    <s v="Tanvi Roy"/>
    <n v="26"/>
    <x v="2"/>
    <x v="0"/>
    <x v="9"/>
    <x v="3"/>
    <x v="3"/>
    <x v="24"/>
    <n v="9"/>
    <n v="41656"/>
    <x v="369"/>
    <x v="4"/>
    <x v="7"/>
    <n v="2"/>
    <s v="No"/>
  </r>
  <r>
    <n v="372"/>
    <x v="371"/>
    <d v="2025-01-06T00:00:00"/>
    <x v="0"/>
    <s v="Meera Ghosh"/>
    <n v="26"/>
    <x v="2"/>
    <x v="0"/>
    <x v="4"/>
    <x v="2"/>
    <x v="1"/>
    <x v="19"/>
    <n v="5"/>
    <n v="12590"/>
    <x v="370"/>
    <x v="3"/>
    <x v="1"/>
    <n v="2"/>
    <s v="No"/>
  </r>
  <r>
    <n v="373"/>
    <x v="372"/>
    <d v="2025-01-07T00:00:00"/>
    <x v="0"/>
    <s v="Priya Verma"/>
    <n v="46"/>
    <x v="1"/>
    <x v="0"/>
    <x v="7"/>
    <x v="3"/>
    <x v="2"/>
    <x v="14"/>
    <n v="5"/>
    <n v="48148"/>
    <x v="371"/>
    <x v="3"/>
    <x v="3"/>
    <n v="1"/>
    <s v="Yes"/>
  </r>
  <r>
    <n v="374"/>
    <x v="373"/>
    <d v="2025-01-08T00:00:00"/>
    <x v="0"/>
    <s v="Tanvi Kapoor"/>
    <n v="46"/>
    <x v="1"/>
    <x v="0"/>
    <x v="9"/>
    <x v="3"/>
    <x v="3"/>
    <x v="22"/>
    <n v="3"/>
    <n v="9900"/>
    <x v="372"/>
    <x v="2"/>
    <x v="6"/>
    <n v="1"/>
    <s v="Yes"/>
  </r>
  <r>
    <n v="375"/>
    <x v="374"/>
    <d v="2025-01-09T00:00:00"/>
    <x v="0"/>
    <s v="Tanvi Ghosh"/>
    <n v="45"/>
    <x v="1"/>
    <x v="0"/>
    <x v="8"/>
    <x v="1"/>
    <x v="1"/>
    <x v="20"/>
    <n v="3"/>
    <n v="18264"/>
    <x v="373"/>
    <x v="4"/>
    <x v="0"/>
    <n v="1"/>
    <s v="No"/>
  </r>
  <r>
    <n v="376"/>
    <x v="375"/>
    <d v="2025-01-10T00:00:00"/>
    <x v="0"/>
    <s v="Arjun Iyer"/>
    <n v="52"/>
    <x v="0"/>
    <x v="0"/>
    <x v="8"/>
    <x v="1"/>
    <x v="4"/>
    <x v="5"/>
    <n v="8"/>
    <n v="1923"/>
    <x v="374"/>
    <x v="3"/>
    <x v="5"/>
    <n v="4"/>
    <s v="No"/>
  </r>
  <r>
    <n v="377"/>
    <x v="376"/>
    <d v="2025-01-11T00:00:00"/>
    <x v="0"/>
    <s v="Priya Mehta"/>
    <n v="22"/>
    <x v="2"/>
    <x v="0"/>
    <x v="0"/>
    <x v="3"/>
    <x v="4"/>
    <x v="10"/>
    <n v="5"/>
    <n v="435"/>
    <x v="375"/>
    <x v="4"/>
    <x v="5"/>
    <n v="2"/>
    <s v="Yes"/>
  </r>
  <r>
    <n v="378"/>
    <x v="377"/>
    <d v="2025-01-12T00:00:00"/>
    <x v="0"/>
    <s v="Kunal Chopra"/>
    <n v="32"/>
    <x v="1"/>
    <x v="1"/>
    <x v="9"/>
    <x v="0"/>
    <x v="3"/>
    <x v="24"/>
    <n v="5"/>
    <n v="4608"/>
    <x v="376"/>
    <x v="2"/>
    <x v="5"/>
    <n v="4"/>
    <s v="No"/>
  </r>
  <r>
    <n v="379"/>
    <x v="378"/>
    <d v="2025-01-13T00:00:00"/>
    <x v="0"/>
    <s v="Ravi Singh"/>
    <n v="37"/>
    <x v="1"/>
    <x v="1"/>
    <x v="4"/>
    <x v="0"/>
    <x v="4"/>
    <x v="15"/>
    <n v="4"/>
    <n v="1052"/>
    <x v="377"/>
    <x v="0"/>
    <x v="2"/>
    <n v="4"/>
    <s v="No"/>
  </r>
  <r>
    <n v="380"/>
    <x v="379"/>
    <d v="2025-01-14T00:00:00"/>
    <x v="0"/>
    <s v="Rohan Chopra"/>
    <n v="25"/>
    <x v="2"/>
    <x v="1"/>
    <x v="1"/>
    <x v="3"/>
    <x v="1"/>
    <x v="1"/>
    <n v="10"/>
    <n v="33283"/>
    <x v="378"/>
    <x v="1"/>
    <x v="3"/>
    <n v="3"/>
    <s v="No"/>
  </r>
  <r>
    <n v="381"/>
    <x v="380"/>
    <d v="2025-01-15T00:00:00"/>
    <x v="0"/>
    <s v="Kavya Jain"/>
    <n v="53"/>
    <x v="0"/>
    <x v="0"/>
    <x v="4"/>
    <x v="2"/>
    <x v="1"/>
    <x v="20"/>
    <n v="7"/>
    <n v="25828"/>
    <x v="379"/>
    <x v="3"/>
    <x v="5"/>
    <n v="3"/>
    <s v="No"/>
  </r>
  <r>
    <n v="382"/>
    <x v="381"/>
    <d v="2025-01-16T00:00:00"/>
    <x v="0"/>
    <s v="Ravi Kapoor"/>
    <n v="21"/>
    <x v="2"/>
    <x v="0"/>
    <x v="0"/>
    <x v="3"/>
    <x v="1"/>
    <x v="20"/>
    <n v="3"/>
    <n v="9584"/>
    <x v="380"/>
    <x v="3"/>
    <x v="7"/>
    <n v="4"/>
    <s v="No"/>
  </r>
  <r>
    <n v="383"/>
    <x v="382"/>
    <d v="2025-01-17T00:00:00"/>
    <x v="0"/>
    <s v="Aditya Patel"/>
    <n v="37"/>
    <x v="1"/>
    <x v="1"/>
    <x v="2"/>
    <x v="3"/>
    <x v="2"/>
    <x v="14"/>
    <n v="2"/>
    <n v="29283"/>
    <x v="381"/>
    <x v="2"/>
    <x v="1"/>
    <n v="4"/>
    <s v="Yes"/>
  </r>
  <r>
    <n v="384"/>
    <x v="383"/>
    <d v="2025-01-18T00:00:00"/>
    <x v="0"/>
    <s v="Rohan Nair"/>
    <n v="37"/>
    <x v="1"/>
    <x v="1"/>
    <x v="6"/>
    <x v="2"/>
    <x v="4"/>
    <x v="4"/>
    <n v="1"/>
    <n v="611"/>
    <x v="382"/>
    <x v="3"/>
    <x v="8"/>
    <n v="4"/>
    <s v="No"/>
  </r>
  <r>
    <n v="385"/>
    <x v="384"/>
    <d v="2025-01-19T00:00:00"/>
    <x v="0"/>
    <s v="Ravi Gupta"/>
    <n v="22"/>
    <x v="2"/>
    <x v="0"/>
    <x v="5"/>
    <x v="2"/>
    <x v="2"/>
    <x v="14"/>
    <n v="5"/>
    <n v="39067"/>
    <x v="383"/>
    <x v="3"/>
    <x v="1"/>
    <n v="4"/>
    <s v="No"/>
  </r>
  <r>
    <n v="386"/>
    <x v="385"/>
    <d v="2025-01-20T00:00:00"/>
    <x v="0"/>
    <s v="Sneha Kapoor"/>
    <n v="46"/>
    <x v="1"/>
    <x v="0"/>
    <x v="5"/>
    <x v="1"/>
    <x v="3"/>
    <x v="3"/>
    <n v="3"/>
    <n v="41111"/>
    <x v="384"/>
    <x v="1"/>
    <x v="9"/>
    <n v="4"/>
    <s v="No"/>
  </r>
  <r>
    <n v="387"/>
    <x v="386"/>
    <d v="2025-01-21T00:00:00"/>
    <x v="0"/>
    <s v="Raj Reddy"/>
    <n v="50"/>
    <x v="0"/>
    <x v="0"/>
    <x v="7"/>
    <x v="0"/>
    <x v="1"/>
    <x v="20"/>
    <n v="4"/>
    <n v="24494"/>
    <x v="385"/>
    <x v="1"/>
    <x v="2"/>
    <n v="1"/>
    <s v="Yes"/>
  </r>
  <r>
    <n v="388"/>
    <x v="387"/>
    <d v="2025-01-22T00:00:00"/>
    <x v="0"/>
    <s v="Divya Sharma"/>
    <n v="38"/>
    <x v="1"/>
    <x v="1"/>
    <x v="4"/>
    <x v="1"/>
    <x v="0"/>
    <x v="17"/>
    <n v="7"/>
    <n v="29403"/>
    <x v="386"/>
    <x v="2"/>
    <x v="9"/>
    <n v="5"/>
    <s v="Yes"/>
  </r>
  <r>
    <n v="389"/>
    <x v="388"/>
    <d v="2025-01-23T00:00:00"/>
    <x v="0"/>
    <s v="Priya Kapoor"/>
    <n v="28"/>
    <x v="2"/>
    <x v="1"/>
    <x v="1"/>
    <x v="3"/>
    <x v="2"/>
    <x v="6"/>
    <n v="7"/>
    <n v="37427"/>
    <x v="387"/>
    <x v="2"/>
    <x v="2"/>
    <n v="3"/>
    <s v="Yes"/>
  </r>
  <r>
    <n v="390"/>
    <x v="389"/>
    <d v="2025-01-24T00:00:00"/>
    <x v="0"/>
    <s v="Ananya Sen"/>
    <n v="25"/>
    <x v="2"/>
    <x v="0"/>
    <x v="6"/>
    <x v="0"/>
    <x v="0"/>
    <x v="8"/>
    <n v="8"/>
    <n v="7686"/>
    <x v="388"/>
    <x v="3"/>
    <x v="8"/>
    <n v="1"/>
    <s v="No"/>
  </r>
  <r>
    <n v="391"/>
    <x v="390"/>
    <d v="2025-01-25T00:00:00"/>
    <x v="0"/>
    <s v="Kavya Bose"/>
    <n v="52"/>
    <x v="0"/>
    <x v="1"/>
    <x v="5"/>
    <x v="2"/>
    <x v="3"/>
    <x v="12"/>
    <n v="10"/>
    <n v="37946"/>
    <x v="389"/>
    <x v="0"/>
    <x v="2"/>
    <n v="4"/>
    <s v="Yes"/>
  </r>
  <r>
    <n v="392"/>
    <x v="391"/>
    <d v="2025-01-26T00:00:00"/>
    <x v="0"/>
    <s v="Raj Mehta"/>
    <n v="24"/>
    <x v="2"/>
    <x v="1"/>
    <x v="6"/>
    <x v="3"/>
    <x v="1"/>
    <x v="20"/>
    <n v="5"/>
    <n v="47962"/>
    <x v="390"/>
    <x v="0"/>
    <x v="9"/>
    <n v="1"/>
    <s v="Yes"/>
  </r>
  <r>
    <n v="393"/>
    <x v="392"/>
    <d v="2025-01-27T00:00:00"/>
    <x v="0"/>
    <s v="Manish Verma"/>
    <n v="42"/>
    <x v="1"/>
    <x v="0"/>
    <x v="6"/>
    <x v="0"/>
    <x v="2"/>
    <x v="18"/>
    <n v="5"/>
    <n v="30079"/>
    <x v="391"/>
    <x v="2"/>
    <x v="9"/>
    <n v="5"/>
    <s v="No"/>
  </r>
  <r>
    <n v="394"/>
    <x v="393"/>
    <d v="2025-01-28T00:00:00"/>
    <x v="0"/>
    <s v="Sanya Kapoor"/>
    <n v="36"/>
    <x v="1"/>
    <x v="0"/>
    <x v="5"/>
    <x v="1"/>
    <x v="2"/>
    <x v="14"/>
    <n v="9"/>
    <n v="36864"/>
    <x v="392"/>
    <x v="3"/>
    <x v="2"/>
    <n v="3"/>
    <s v="Yes"/>
  </r>
  <r>
    <n v="395"/>
    <x v="394"/>
    <d v="2025-01-29T00:00:00"/>
    <x v="0"/>
    <s v="Aditya Sen"/>
    <n v="24"/>
    <x v="2"/>
    <x v="0"/>
    <x v="4"/>
    <x v="0"/>
    <x v="2"/>
    <x v="9"/>
    <n v="8"/>
    <n v="39158"/>
    <x v="393"/>
    <x v="4"/>
    <x v="0"/>
    <n v="3"/>
    <s v="Yes"/>
  </r>
  <r>
    <n v="396"/>
    <x v="395"/>
    <d v="2025-01-30T00:00:00"/>
    <x v="0"/>
    <s v="Ravi Mehta"/>
    <n v="34"/>
    <x v="1"/>
    <x v="1"/>
    <x v="4"/>
    <x v="3"/>
    <x v="3"/>
    <x v="22"/>
    <n v="8"/>
    <n v="32496"/>
    <x v="394"/>
    <x v="2"/>
    <x v="7"/>
    <n v="2"/>
    <s v="Yes"/>
  </r>
  <r>
    <n v="397"/>
    <x v="396"/>
    <d v="2025-01-31T00:00:00"/>
    <x v="0"/>
    <s v="Arjun Reddy"/>
    <n v="26"/>
    <x v="2"/>
    <x v="1"/>
    <x v="4"/>
    <x v="2"/>
    <x v="3"/>
    <x v="22"/>
    <n v="9"/>
    <n v="10042"/>
    <x v="395"/>
    <x v="3"/>
    <x v="9"/>
    <n v="4"/>
    <s v="No"/>
  </r>
  <r>
    <n v="398"/>
    <x v="397"/>
    <d v="2025-02-01T00:00:00"/>
    <x v="1"/>
    <s v="Ishita Bhatia"/>
    <n v="59"/>
    <x v="0"/>
    <x v="1"/>
    <x v="0"/>
    <x v="1"/>
    <x v="3"/>
    <x v="12"/>
    <n v="8"/>
    <n v="43295"/>
    <x v="396"/>
    <x v="3"/>
    <x v="0"/>
    <n v="1"/>
    <s v="No"/>
  </r>
  <r>
    <n v="399"/>
    <x v="398"/>
    <d v="2025-02-02T00:00:00"/>
    <x v="1"/>
    <s v="Ravi Ghosh"/>
    <n v="20"/>
    <x v="2"/>
    <x v="1"/>
    <x v="8"/>
    <x v="3"/>
    <x v="0"/>
    <x v="17"/>
    <n v="7"/>
    <n v="6651"/>
    <x v="397"/>
    <x v="3"/>
    <x v="8"/>
    <n v="2"/>
    <s v="No"/>
  </r>
  <r>
    <n v="400"/>
    <x v="399"/>
    <d v="2025-02-03T00:00:00"/>
    <x v="1"/>
    <s v="Pooja Bose"/>
    <n v="25"/>
    <x v="2"/>
    <x v="0"/>
    <x v="7"/>
    <x v="1"/>
    <x v="0"/>
    <x v="17"/>
    <n v="1"/>
    <n v="19219"/>
    <x v="398"/>
    <x v="0"/>
    <x v="9"/>
    <n v="4"/>
    <s v="Yes"/>
  </r>
  <r>
    <n v="401"/>
    <x v="400"/>
    <d v="2025-02-04T00:00:00"/>
    <x v="1"/>
    <s v="Manish Jain"/>
    <n v="52"/>
    <x v="0"/>
    <x v="0"/>
    <x v="0"/>
    <x v="2"/>
    <x v="4"/>
    <x v="15"/>
    <n v="3"/>
    <n v="1687"/>
    <x v="399"/>
    <x v="2"/>
    <x v="8"/>
    <n v="3"/>
    <s v="Yes"/>
  </r>
  <r>
    <n v="402"/>
    <x v="401"/>
    <d v="2025-02-05T00:00:00"/>
    <x v="1"/>
    <s v="Manish Singh"/>
    <n v="38"/>
    <x v="1"/>
    <x v="0"/>
    <x v="3"/>
    <x v="0"/>
    <x v="2"/>
    <x v="14"/>
    <n v="4"/>
    <n v="49491"/>
    <x v="400"/>
    <x v="2"/>
    <x v="9"/>
    <n v="2"/>
    <s v="No"/>
  </r>
  <r>
    <n v="403"/>
    <x v="402"/>
    <d v="2025-02-06T00:00:00"/>
    <x v="1"/>
    <s v="Arjun Iyer"/>
    <n v="40"/>
    <x v="1"/>
    <x v="0"/>
    <x v="7"/>
    <x v="1"/>
    <x v="4"/>
    <x v="7"/>
    <n v="9"/>
    <n v="1510"/>
    <x v="401"/>
    <x v="4"/>
    <x v="4"/>
    <n v="2"/>
    <s v="No"/>
  </r>
  <r>
    <n v="404"/>
    <x v="403"/>
    <d v="2025-02-07T00:00:00"/>
    <x v="1"/>
    <s v="Ishita Verma"/>
    <n v="60"/>
    <x v="0"/>
    <x v="0"/>
    <x v="1"/>
    <x v="2"/>
    <x v="0"/>
    <x v="8"/>
    <n v="8"/>
    <n v="49799"/>
    <x v="402"/>
    <x v="0"/>
    <x v="6"/>
    <n v="4"/>
    <s v="Yes"/>
  </r>
  <r>
    <n v="405"/>
    <x v="404"/>
    <d v="2025-02-08T00:00:00"/>
    <x v="1"/>
    <s v="Sneha Verma"/>
    <n v="23"/>
    <x v="2"/>
    <x v="0"/>
    <x v="4"/>
    <x v="2"/>
    <x v="0"/>
    <x v="8"/>
    <n v="4"/>
    <n v="17546"/>
    <x v="403"/>
    <x v="0"/>
    <x v="3"/>
    <n v="3"/>
    <s v="No"/>
  </r>
  <r>
    <n v="406"/>
    <x v="405"/>
    <d v="2025-02-09T00:00:00"/>
    <x v="1"/>
    <s v="Sanya Mehta"/>
    <n v="50"/>
    <x v="0"/>
    <x v="1"/>
    <x v="5"/>
    <x v="2"/>
    <x v="2"/>
    <x v="18"/>
    <n v="2"/>
    <n v="33266"/>
    <x v="404"/>
    <x v="4"/>
    <x v="1"/>
    <n v="2"/>
    <s v="No"/>
  </r>
  <r>
    <n v="407"/>
    <x v="406"/>
    <d v="2025-02-10T00:00:00"/>
    <x v="1"/>
    <s v="Sneha Gupta"/>
    <n v="54"/>
    <x v="0"/>
    <x v="0"/>
    <x v="1"/>
    <x v="0"/>
    <x v="0"/>
    <x v="8"/>
    <n v="1"/>
    <n v="18374"/>
    <x v="405"/>
    <x v="4"/>
    <x v="4"/>
    <n v="2"/>
    <s v="Yes"/>
  </r>
  <r>
    <n v="408"/>
    <x v="407"/>
    <d v="2025-02-11T00:00:00"/>
    <x v="1"/>
    <s v="Vikram Jain"/>
    <n v="27"/>
    <x v="2"/>
    <x v="0"/>
    <x v="6"/>
    <x v="2"/>
    <x v="4"/>
    <x v="7"/>
    <n v="7"/>
    <n v="588"/>
    <x v="406"/>
    <x v="2"/>
    <x v="1"/>
    <n v="4"/>
    <s v="Yes"/>
  </r>
  <r>
    <n v="409"/>
    <x v="408"/>
    <d v="2025-02-12T00:00:00"/>
    <x v="1"/>
    <s v="Kavya Sen"/>
    <n v="43"/>
    <x v="1"/>
    <x v="1"/>
    <x v="6"/>
    <x v="1"/>
    <x v="4"/>
    <x v="15"/>
    <n v="8"/>
    <n v="1388"/>
    <x v="407"/>
    <x v="2"/>
    <x v="2"/>
    <n v="3"/>
    <s v="Yes"/>
  </r>
  <r>
    <n v="410"/>
    <x v="409"/>
    <d v="2025-02-13T00:00:00"/>
    <x v="1"/>
    <s v="Meera Chopra"/>
    <n v="38"/>
    <x v="1"/>
    <x v="1"/>
    <x v="8"/>
    <x v="2"/>
    <x v="4"/>
    <x v="7"/>
    <n v="2"/>
    <n v="547"/>
    <x v="408"/>
    <x v="4"/>
    <x v="3"/>
    <n v="4"/>
    <s v="No"/>
  </r>
  <r>
    <n v="411"/>
    <x v="410"/>
    <d v="2025-02-14T00:00:00"/>
    <x v="1"/>
    <s v="Sanya Kapoor"/>
    <n v="28"/>
    <x v="2"/>
    <x v="0"/>
    <x v="9"/>
    <x v="3"/>
    <x v="3"/>
    <x v="24"/>
    <n v="9"/>
    <n v="33604"/>
    <x v="409"/>
    <x v="2"/>
    <x v="8"/>
    <n v="5"/>
    <s v="No"/>
  </r>
  <r>
    <n v="412"/>
    <x v="411"/>
    <d v="2025-02-15T00:00:00"/>
    <x v="1"/>
    <s v="Manish Das"/>
    <n v="33"/>
    <x v="1"/>
    <x v="0"/>
    <x v="3"/>
    <x v="0"/>
    <x v="4"/>
    <x v="10"/>
    <n v="3"/>
    <n v="113"/>
    <x v="410"/>
    <x v="0"/>
    <x v="8"/>
    <n v="5"/>
    <s v="Yes"/>
  </r>
  <r>
    <n v="413"/>
    <x v="412"/>
    <d v="2025-02-16T00:00:00"/>
    <x v="1"/>
    <s v="Priya Agarwal"/>
    <n v="52"/>
    <x v="0"/>
    <x v="1"/>
    <x v="4"/>
    <x v="1"/>
    <x v="2"/>
    <x v="9"/>
    <n v="3"/>
    <n v="22187"/>
    <x v="411"/>
    <x v="3"/>
    <x v="0"/>
    <n v="3"/>
    <s v="Yes"/>
  </r>
  <r>
    <n v="414"/>
    <x v="413"/>
    <d v="2025-02-17T00:00:00"/>
    <x v="1"/>
    <s v="Divya Agarwal"/>
    <n v="30"/>
    <x v="1"/>
    <x v="0"/>
    <x v="7"/>
    <x v="0"/>
    <x v="0"/>
    <x v="8"/>
    <n v="7"/>
    <n v="5570"/>
    <x v="412"/>
    <x v="3"/>
    <x v="1"/>
    <n v="4"/>
    <s v="Yes"/>
  </r>
  <r>
    <n v="415"/>
    <x v="414"/>
    <d v="2025-02-18T00:00:00"/>
    <x v="1"/>
    <s v="Tanvi Mehta"/>
    <n v="47"/>
    <x v="1"/>
    <x v="1"/>
    <x v="2"/>
    <x v="1"/>
    <x v="1"/>
    <x v="1"/>
    <n v="8"/>
    <n v="18493"/>
    <x v="413"/>
    <x v="4"/>
    <x v="4"/>
    <n v="1"/>
    <s v="Yes"/>
  </r>
  <r>
    <n v="416"/>
    <x v="415"/>
    <d v="2025-02-19T00:00:00"/>
    <x v="1"/>
    <s v="Sneha Sharma"/>
    <n v="56"/>
    <x v="0"/>
    <x v="1"/>
    <x v="4"/>
    <x v="0"/>
    <x v="3"/>
    <x v="12"/>
    <n v="4"/>
    <n v="11684"/>
    <x v="414"/>
    <x v="3"/>
    <x v="5"/>
    <n v="1"/>
    <s v="Yes"/>
  </r>
  <r>
    <n v="417"/>
    <x v="416"/>
    <d v="2025-02-20T00:00:00"/>
    <x v="1"/>
    <s v="Aditya Sen"/>
    <n v="44"/>
    <x v="1"/>
    <x v="0"/>
    <x v="0"/>
    <x v="3"/>
    <x v="0"/>
    <x v="17"/>
    <n v="1"/>
    <n v="25949"/>
    <x v="415"/>
    <x v="2"/>
    <x v="5"/>
    <n v="4"/>
    <s v="Yes"/>
  </r>
  <r>
    <n v="418"/>
    <x v="417"/>
    <d v="2025-02-21T00:00:00"/>
    <x v="1"/>
    <s v="Sanya Gupta"/>
    <n v="55"/>
    <x v="0"/>
    <x v="1"/>
    <x v="9"/>
    <x v="3"/>
    <x v="4"/>
    <x v="4"/>
    <n v="3"/>
    <n v="59"/>
    <x v="416"/>
    <x v="1"/>
    <x v="7"/>
    <n v="2"/>
    <s v="No"/>
  </r>
  <r>
    <n v="419"/>
    <x v="418"/>
    <d v="2025-02-22T00:00:00"/>
    <x v="1"/>
    <s v="Aarav Gupta"/>
    <n v="25"/>
    <x v="2"/>
    <x v="0"/>
    <x v="4"/>
    <x v="0"/>
    <x v="4"/>
    <x v="5"/>
    <n v="1"/>
    <n v="216"/>
    <x v="417"/>
    <x v="0"/>
    <x v="8"/>
    <n v="4"/>
    <s v="No"/>
  </r>
  <r>
    <n v="420"/>
    <x v="419"/>
    <d v="2025-02-23T00:00:00"/>
    <x v="1"/>
    <s v="Kavya Verma"/>
    <n v="47"/>
    <x v="1"/>
    <x v="1"/>
    <x v="7"/>
    <x v="1"/>
    <x v="2"/>
    <x v="14"/>
    <n v="4"/>
    <n v="30774"/>
    <x v="418"/>
    <x v="2"/>
    <x v="7"/>
    <n v="2"/>
    <s v="No"/>
  </r>
  <r>
    <n v="421"/>
    <x v="420"/>
    <d v="2025-02-24T00:00:00"/>
    <x v="1"/>
    <s v="Priya Reddy"/>
    <n v="34"/>
    <x v="1"/>
    <x v="1"/>
    <x v="9"/>
    <x v="3"/>
    <x v="2"/>
    <x v="18"/>
    <n v="8"/>
    <n v="26302"/>
    <x v="419"/>
    <x v="3"/>
    <x v="6"/>
    <n v="3"/>
    <s v="Yes"/>
  </r>
  <r>
    <n v="422"/>
    <x v="421"/>
    <d v="2025-02-25T00:00:00"/>
    <x v="1"/>
    <s v="Tanvi Agarwal"/>
    <n v="51"/>
    <x v="0"/>
    <x v="0"/>
    <x v="6"/>
    <x v="3"/>
    <x v="1"/>
    <x v="20"/>
    <n v="3"/>
    <n v="38169"/>
    <x v="420"/>
    <x v="3"/>
    <x v="2"/>
    <n v="1"/>
    <s v="Yes"/>
  </r>
  <r>
    <n v="423"/>
    <x v="422"/>
    <d v="2025-02-26T00:00:00"/>
    <x v="1"/>
    <s v="Pooja Agarwal"/>
    <n v="50"/>
    <x v="0"/>
    <x v="0"/>
    <x v="6"/>
    <x v="3"/>
    <x v="2"/>
    <x v="9"/>
    <n v="1"/>
    <n v="46869"/>
    <x v="421"/>
    <x v="1"/>
    <x v="9"/>
    <n v="1"/>
    <s v="Yes"/>
  </r>
  <r>
    <n v="424"/>
    <x v="423"/>
    <d v="2025-02-27T00:00:00"/>
    <x v="1"/>
    <s v="Kavya Das"/>
    <n v="50"/>
    <x v="0"/>
    <x v="1"/>
    <x v="1"/>
    <x v="1"/>
    <x v="4"/>
    <x v="10"/>
    <n v="3"/>
    <n v="533"/>
    <x v="422"/>
    <x v="3"/>
    <x v="4"/>
    <n v="3"/>
    <s v="Yes"/>
  </r>
  <r>
    <n v="425"/>
    <x v="424"/>
    <d v="2025-02-28T00:00:00"/>
    <x v="1"/>
    <s v="Sneha Bose"/>
    <n v="59"/>
    <x v="0"/>
    <x v="0"/>
    <x v="6"/>
    <x v="2"/>
    <x v="4"/>
    <x v="5"/>
    <n v="2"/>
    <n v="727"/>
    <x v="423"/>
    <x v="4"/>
    <x v="8"/>
    <n v="3"/>
    <s v="Yes"/>
  </r>
  <r>
    <n v="426"/>
    <x v="425"/>
    <d v="2025-03-01T00:00:00"/>
    <x v="2"/>
    <s v="Kunal Roy"/>
    <n v="28"/>
    <x v="2"/>
    <x v="1"/>
    <x v="6"/>
    <x v="0"/>
    <x v="1"/>
    <x v="20"/>
    <n v="5"/>
    <n v="48051"/>
    <x v="424"/>
    <x v="0"/>
    <x v="6"/>
    <n v="2"/>
    <s v="Yes"/>
  </r>
  <r>
    <n v="427"/>
    <x v="426"/>
    <d v="2025-03-02T00:00:00"/>
    <x v="2"/>
    <s v="Meera Verma"/>
    <n v="28"/>
    <x v="2"/>
    <x v="0"/>
    <x v="1"/>
    <x v="0"/>
    <x v="4"/>
    <x v="4"/>
    <n v="10"/>
    <n v="1543"/>
    <x v="425"/>
    <x v="2"/>
    <x v="3"/>
    <n v="4"/>
    <s v="Yes"/>
  </r>
  <r>
    <n v="428"/>
    <x v="427"/>
    <d v="2025-03-03T00:00:00"/>
    <x v="2"/>
    <s v="Meera Reddy"/>
    <n v="48"/>
    <x v="1"/>
    <x v="0"/>
    <x v="9"/>
    <x v="0"/>
    <x v="0"/>
    <x v="0"/>
    <n v="1"/>
    <n v="19262"/>
    <x v="426"/>
    <x v="4"/>
    <x v="9"/>
    <n v="1"/>
    <s v="Yes"/>
  </r>
  <r>
    <n v="429"/>
    <x v="428"/>
    <d v="2025-03-04T00:00:00"/>
    <x v="2"/>
    <s v="Vikram Iyer"/>
    <n v="55"/>
    <x v="0"/>
    <x v="0"/>
    <x v="1"/>
    <x v="0"/>
    <x v="1"/>
    <x v="21"/>
    <n v="1"/>
    <n v="4456"/>
    <x v="427"/>
    <x v="4"/>
    <x v="5"/>
    <n v="2"/>
    <s v="No"/>
  </r>
  <r>
    <n v="430"/>
    <x v="429"/>
    <d v="2025-03-05T00:00:00"/>
    <x v="2"/>
    <s v="Arjun Mehta"/>
    <n v="56"/>
    <x v="0"/>
    <x v="1"/>
    <x v="6"/>
    <x v="2"/>
    <x v="1"/>
    <x v="21"/>
    <n v="3"/>
    <n v="47901"/>
    <x v="428"/>
    <x v="1"/>
    <x v="0"/>
    <n v="5"/>
    <s v="No"/>
  </r>
  <r>
    <n v="431"/>
    <x v="430"/>
    <d v="2025-03-06T00:00:00"/>
    <x v="2"/>
    <s v="Arjun Iyer"/>
    <n v="45"/>
    <x v="1"/>
    <x v="1"/>
    <x v="0"/>
    <x v="3"/>
    <x v="1"/>
    <x v="21"/>
    <n v="1"/>
    <n v="17306"/>
    <x v="429"/>
    <x v="0"/>
    <x v="4"/>
    <n v="2"/>
    <s v="No"/>
  </r>
  <r>
    <n v="432"/>
    <x v="431"/>
    <d v="2025-03-07T00:00:00"/>
    <x v="2"/>
    <s v="Pooja Ghosh"/>
    <n v="58"/>
    <x v="0"/>
    <x v="0"/>
    <x v="4"/>
    <x v="3"/>
    <x v="0"/>
    <x v="23"/>
    <n v="3"/>
    <n v="19453"/>
    <x v="430"/>
    <x v="3"/>
    <x v="8"/>
    <n v="2"/>
    <s v="No"/>
  </r>
  <r>
    <n v="433"/>
    <x v="432"/>
    <d v="2025-03-08T00:00:00"/>
    <x v="2"/>
    <s v="Kavya Verma"/>
    <n v="31"/>
    <x v="1"/>
    <x v="1"/>
    <x v="1"/>
    <x v="1"/>
    <x v="0"/>
    <x v="23"/>
    <n v="10"/>
    <n v="45397"/>
    <x v="431"/>
    <x v="2"/>
    <x v="5"/>
    <n v="5"/>
    <s v="Yes"/>
  </r>
  <r>
    <n v="434"/>
    <x v="433"/>
    <d v="2025-03-09T00:00:00"/>
    <x v="2"/>
    <s v="Pooja Sen"/>
    <n v="52"/>
    <x v="0"/>
    <x v="1"/>
    <x v="8"/>
    <x v="1"/>
    <x v="3"/>
    <x v="12"/>
    <n v="9"/>
    <n v="21278"/>
    <x v="432"/>
    <x v="4"/>
    <x v="8"/>
    <n v="1"/>
    <s v="Yes"/>
  </r>
  <r>
    <n v="435"/>
    <x v="434"/>
    <d v="2025-03-10T00:00:00"/>
    <x v="2"/>
    <s v="Divya Jain"/>
    <n v="57"/>
    <x v="0"/>
    <x v="0"/>
    <x v="2"/>
    <x v="1"/>
    <x v="0"/>
    <x v="8"/>
    <n v="4"/>
    <n v="3099"/>
    <x v="433"/>
    <x v="4"/>
    <x v="6"/>
    <n v="4"/>
    <s v="Yes"/>
  </r>
  <r>
    <n v="436"/>
    <x v="435"/>
    <d v="2025-03-11T00:00:00"/>
    <x v="2"/>
    <s v="Ananya Singh"/>
    <n v="60"/>
    <x v="0"/>
    <x v="0"/>
    <x v="2"/>
    <x v="3"/>
    <x v="2"/>
    <x v="6"/>
    <n v="8"/>
    <n v="7116"/>
    <x v="434"/>
    <x v="0"/>
    <x v="3"/>
    <n v="4"/>
    <s v="Yes"/>
  </r>
  <r>
    <n v="437"/>
    <x v="436"/>
    <d v="2025-03-12T00:00:00"/>
    <x v="2"/>
    <s v="Vikram Ghosh"/>
    <n v="52"/>
    <x v="0"/>
    <x v="0"/>
    <x v="7"/>
    <x v="3"/>
    <x v="0"/>
    <x v="13"/>
    <n v="10"/>
    <n v="25298"/>
    <x v="435"/>
    <x v="4"/>
    <x v="2"/>
    <n v="1"/>
    <s v="No"/>
  </r>
  <r>
    <n v="438"/>
    <x v="437"/>
    <d v="2025-03-13T00:00:00"/>
    <x v="2"/>
    <s v="Aarav Sen"/>
    <n v="35"/>
    <x v="1"/>
    <x v="0"/>
    <x v="3"/>
    <x v="3"/>
    <x v="4"/>
    <x v="15"/>
    <n v="7"/>
    <n v="1963"/>
    <x v="436"/>
    <x v="1"/>
    <x v="5"/>
    <n v="5"/>
    <s v="Yes"/>
  </r>
  <r>
    <n v="439"/>
    <x v="438"/>
    <d v="2025-03-14T00:00:00"/>
    <x v="2"/>
    <s v="Tanvi Bose"/>
    <n v="54"/>
    <x v="0"/>
    <x v="1"/>
    <x v="3"/>
    <x v="2"/>
    <x v="2"/>
    <x v="14"/>
    <n v="10"/>
    <n v="12044"/>
    <x v="437"/>
    <x v="3"/>
    <x v="3"/>
    <n v="1"/>
    <s v="No"/>
  </r>
  <r>
    <n v="440"/>
    <x v="439"/>
    <d v="2025-03-15T00:00:00"/>
    <x v="2"/>
    <s v="Ravi Verma"/>
    <n v="46"/>
    <x v="1"/>
    <x v="0"/>
    <x v="4"/>
    <x v="0"/>
    <x v="4"/>
    <x v="7"/>
    <n v="2"/>
    <n v="96"/>
    <x v="438"/>
    <x v="1"/>
    <x v="0"/>
    <n v="2"/>
    <s v="Yes"/>
  </r>
  <r>
    <n v="441"/>
    <x v="440"/>
    <d v="2025-03-16T00:00:00"/>
    <x v="2"/>
    <s v="Ishita Bose"/>
    <n v="57"/>
    <x v="0"/>
    <x v="1"/>
    <x v="0"/>
    <x v="0"/>
    <x v="0"/>
    <x v="0"/>
    <n v="2"/>
    <n v="15835"/>
    <x v="439"/>
    <x v="1"/>
    <x v="0"/>
    <n v="2"/>
    <s v="No"/>
  </r>
  <r>
    <n v="442"/>
    <x v="441"/>
    <d v="2025-03-17T00:00:00"/>
    <x v="2"/>
    <s v="Sneha Bose"/>
    <n v="53"/>
    <x v="0"/>
    <x v="1"/>
    <x v="8"/>
    <x v="2"/>
    <x v="1"/>
    <x v="21"/>
    <n v="5"/>
    <n v="10934"/>
    <x v="440"/>
    <x v="0"/>
    <x v="2"/>
    <n v="2"/>
    <s v="Yes"/>
  </r>
  <r>
    <n v="443"/>
    <x v="442"/>
    <d v="2025-03-18T00:00:00"/>
    <x v="2"/>
    <s v="Priya Malhotra"/>
    <n v="49"/>
    <x v="1"/>
    <x v="0"/>
    <x v="0"/>
    <x v="0"/>
    <x v="2"/>
    <x v="14"/>
    <n v="3"/>
    <n v="21188"/>
    <x v="441"/>
    <x v="4"/>
    <x v="2"/>
    <n v="4"/>
    <s v="No"/>
  </r>
  <r>
    <n v="444"/>
    <x v="443"/>
    <d v="2025-03-19T00:00:00"/>
    <x v="2"/>
    <s v="Vikram Ghosh"/>
    <n v="38"/>
    <x v="1"/>
    <x v="0"/>
    <x v="3"/>
    <x v="2"/>
    <x v="4"/>
    <x v="15"/>
    <n v="4"/>
    <n v="1203"/>
    <x v="442"/>
    <x v="2"/>
    <x v="7"/>
    <n v="4"/>
    <s v="No"/>
  </r>
  <r>
    <n v="445"/>
    <x v="444"/>
    <d v="2025-03-20T00:00:00"/>
    <x v="2"/>
    <s v="Pooja Iyer"/>
    <n v="45"/>
    <x v="1"/>
    <x v="1"/>
    <x v="9"/>
    <x v="2"/>
    <x v="0"/>
    <x v="23"/>
    <n v="5"/>
    <n v="27124"/>
    <x v="443"/>
    <x v="2"/>
    <x v="9"/>
    <n v="3"/>
    <s v="Yes"/>
  </r>
  <r>
    <n v="446"/>
    <x v="445"/>
    <d v="2025-03-21T00:00:00"/>
    <x v="2"/>
    <s v="Sneha Nair"/>
    <n v="42"/>
    <x v="1"/>
    <x v="1"/>
    <x v="7"/>
    <x v="1"/>
    <x v="2"/>
    <x v="14"/>
    <n v="2"/>
    <n v="18668"/>
    <x v="444"/>
    <x v="1"/>
    <x v="0"/>
    <n v="5"/>
    <s v="No"/>
  </r>
  <r>
    <n v="447"/>
    <x v="446"/>
    <d v="2025-03-22T00:00:00"/>
    <x v="2"/>
    <s v="Ishita Ghosh"/>
    <n v="45"/>
    <x v="1"/>
    <x v="0"/>
    <x v="2"/>
    <x v="1"/>
    <x v="1"/>
    <x v="21"/>
    <n v="6"/>
    <n v="11793"/>
    <x v="445"/>
    <x v="2"/>
    <x v="9"/>
    <n v="2"/>
    <s v="No"/>
  </r>
  <r>
    <n v="448"/>
    <x v="447"/>
    <d v="2025-03-23T00:00:00"/>
    <x v="2"/>
    <s v="Meera Sen"/>
    <n v="27"/>
    <x v="2"/>
    <x v="0"/>
    <x v="1"/>
    <x v="2"/>
    <x v="3"/>
    <x v="24"/>
    <n v="1"/>
    <n v="29123"/>
    <x v="446"/>
    <x v="1"/>
    <x v="3"/>
    <n v="1"/>
    <s v="Yes"/>
  </r>
  <r>
    <n v="449"/>
    <x v="448"/>
    <d v="2025-03-24T00:00:00"/>
    <x v="2"/>
    <s v="Ananya Das"/>
    <n v="59"/>
    <x v="0"/>
    <x v="1"/>
    <x v="1"/>
    <x v="1"/>
    <x v="4"/>
    <x v="15"/>
    <n v="4"/>
    <n v="371"/>
    <x v="447"/>
    <x v="2"/>
    <x v="2"/>
    <n v="2"/>
    <s v="No"/>
  </r>
  <r>
    <n v="450"/>
    <x v="449"/>
    <d v="2025-03-25T00:00:00"/>
    <x v="2"/>
    <s v="Meera Gupta"/>
    <n v="28"/>
    <x v="2"/>
    <x v="1"/>
    <x v="1"/>
    <x v="2"/>
    <x v="0"/>
    <x v="8"/>
    <n v="6"/>
    <n v="15568"/>
    <x v="448"/>
    <x v="3"/>
    <x v="1"/>
    <n v="1"/>
    <s v="Yes"/>
  </r>
  <r>
    <n v="451"/>
    <x v="450"/>
    <d v="2025-03-26T00:00:00"/>
    <x v="2"/>
    <s v="Vikram Verma"/>
    <n v="18"/>
    <x v="2"/>
    <x v="0"/>
    <x v="3"/>
    <x v="1"/>
    <x v="2"/>
    <x v="9"/>
    <n v="2"/>
    <n v="34975"/>
    <x v="449"/>
    <x v="1"/>
    <x v="7"/>
    <n v="3"/>
    <s v="No"/>
  </r>
  <r>
    <n v="452"/>
    <x v="451"/>
    <d v="2025-03-27T00:00:00"/>
    <x v="2"/>
    <s v="Aditya Verma"/>
    <n v="30"/>
    <x v="1"/>
    <x v="0"/>
    <x v="5"/>
    <x v="1"/>
    <x v="1"/>
    <x v="21"/>
    <n v="6"/>
    <n v="2271"/>
    <x v="450"/>
    <x v="4"/>
    <x v="7"/>
    <n v="4"/>
    <s v="No"/>
  </r>
  <r>
    <n v="453"/>
    <x v="452"/>
    <d v="2025-03-28T00:00:00"/>
    <x v="2"/>
    <s v="Ravi Bose"/>
    <n v="54"/>
    <x v="0"/>
    <x v="1"/>
    <x v="1"/>
    <x v="1"/>
    <x v="0"/>
    <x v="0"/>
    <n v="1"/>
    <n v="26315"/>
    <x v="451"/>
    <x v="3"/>
    <x v="3"/>
    <n v="5"/>
    <s v="Yes"/>
  </r>
  <r>
    <n v="454"/>
    <x v="453"/>
    <d v="2025-03-29T00:00:00"/>
    <x v="2"/>
    <s v="Sneha Iyer"/>
    <n v="31"/>
    <x v="1"/>
    <x v="0"/>
    <x v="7"/>
    <x v="1"/>
    <x v="0"/>
    <x v="13"/>
    <n v="3"/>
    <n v="5257"/>
    <x v="452"/>
    <x v="1"/>
    <x v="0"/>
    <n v="5"/>
    <s v="Yes"/>
  </r>
  <r>
    <n v="455"/>
    <x v="454"/>
    <d v="2025-03-30T00:00:00"/>
    <x v="2"/>
    <s v="Tanvi Bose"/>
    <n v="43"/>
    <x v="1"/>
    <x v="1"/>
    <x v="5"/>
    <x v="3"/>
    <x v="3"/>
    <x v="22"/>
    <n v="9"/>
    <n v="9052"/>
    <x v="453"/>
    <x v="1"/>
    <x v="1"/>
    <n v="3"/>
    <s v="Yes"/>
  </r>
  <r>
    <n v="456"/>
    <x v="455"/>
    <d v="2025-03-31T00:00:00"/>
    <x v="2"/>
    <s v="Ravi Bhatia"/>
    <n v="32"/>
    <x v="1"/>
    <x v="0"/>
    <x v="3"/>
    <x v="1"/>
    <x v="3"/>
    <x v="16"/>
    <n v="9"/>
    <n v="16252"/>
    <x v="454"/>
    <x v="0"/>
    <x v="9"/>
    <n v="2"/>
    <s v="No"/>
  </r>
  <r>
    <n v="457"/>
    <x v="456"/>
    <d v="2025-04-01T00:00:00"/>
    <x v="3"/>
    <s v="Kavya Iyer"/>
    <n v="38"/>
    <x v="1"/>
    <x v="1"/>
    <x v="2"/>
    <x v="1"/>
    <x v="3"/>
    <x v="24"/>
    <n v="9"/>
    <n v="46090"/>
    <x v="455"/>
    <x v="2"/>
    <x v="6"/>
    <n v="5"/>
    <s v="Yes"/>
  </r>
  <r>
    <n v="458"/>
    <x v="457"/>
    <d v="2025-04-02T00:00:00"/>
    <x v="3"/>
    <s v="Vikram Sen"/>
    <n v="47"/>
    <x v="1"/>
    <x v="1"/>
    <x v="0"/>
    <x v="2"/>
    <x v="3"/>
    <x v="24"/>
    <n v="10"/>
    <n v="25669"/>
    <x v="456"/>
    <x v="2"/>
    <x v="2"/>
    <n v="5"/>
    <s v="Yes"/>
  </r>
  <r>
    <n v="459"/>
    <x v="458"/>
    <d v="2025-04-03T00:00:00"/>
    <x v="3"/>
    <s v="Kavya Mehta"/>
    <n v="45"/>
    <x v="1"/>
    <x v="1"/>
    <x v="3"/>
    <x v="3"/>
    <x v="4"/>
    <x v="4"/>
    <n v="5"/>
    <n v="973"/>
    <x v="457"/>
    <x v="4"/>
    <x v="9"/>
    <n v="2"/>
    <s v="Yes"/>
  </r>
  <r>
    <n v="460"/>
    <x v="459"/>
    <d v="2025-04-04T00:00:00"/>
    <x v="3"/>
    <s v="Manish Patel"/>
    <n v="40"/>
    <x v="1"/>
    <x v="1"/>
    <x v="3"/>
    <x v="2"/>
    <x v="1"/>
    <x v="1"/>
    <n v="6"/>
    <n v="7620"/>
    <x v="458"/>
    <x v="1"/>
    <x v="7"/>
    <n v="5"/>
    <s v="Yes"/>
  </r>
  <r>
    <n v="461"/>
    <x v="460"/>
    <d v="2025-04-05T00:00:00"/>
    <x v="3"/>
    <s v="Pooja Kapoor"/>
    <n v="52"/>
    <x v="0"/>
    <x v="0"/>
    <x v="2"/>
    <x v="1"/>
    <x v="4"/>
    <x v="5"/>
    <n v="9"/>
    <n v="1235"/>
    <x v="459"/>
    <x v="4"/>
    <x v="0"/>
    <n v="5"/>
    <s v="No"/>
  </r>
  <r>
    <n v="462"/>
    <x v="461"/>
    <d v="2025-04-06T00:00:00"/>
    <x v="3"/>
    <s v="Kunal Reddy"/>
    <n v="36"/>
    <x v="1"/>
    <x v="0"/>
    <x v="6"/>
    <x v="3"/>
    <x v="1"/>
    <x v="21"/>
    <n v="5"/>
    <n v="10321"/>
    <x v="460"/>
    <x v="4"/>
    <x v="4"/>
    <n v="5"/>
    <s v="No"/>
  </r>
  <r>
    <n v="463"/>
    <x v="462"/>
    <d v="2025-04-07T00:00:00"/>
    <x v="3"/>
    <s v="Rohan Nair"/>
    <n v="28"/>
    <x v="2"/>
    <x v="0"/>
    <x v="2"/>
    <x v="3"/>
    <x v="2"/>
    <x v="2"/>
    <n v="6"/>
    <n v="42442"/>
    <x v="461"/>
    <x v="4"/>
    <x v="5"/>
    <n v="1"/>
    <s v="Yes"/>
  </r>
  <r>
    <n v="464"/>
    <x v="463"/>
    <d v="2025-04-08T00:00:00"/>
    <x v="3"/>
    <s v="Ananya Iyer"/>
    <n v="33"/>
    <x v="1"/>
    <x v="0"/>
    <x v="1"/>
    <x v="2"/>
    <x v="2"/>
    <x v="2"/>
    <n v="8"/>
    <n v="40880"/>
    <x v="462"/>
    <x v="1"/>
    <x v="4"/>
    <n v="1"/>
    <s v="Yes"/>
  </r>
  <r>
    <n v="465"/>
    <x v="464"/>
    <d v="2025-04-09T00:00:00"/>
    <x v="3"/>
    <s v="Neha Roy"/>
    <n v="56"/>
    <x v="0"/>
    <x v="1"/>
    <x v="3"/>
    <x v="0"/>
    <x v="4"/>
    <x v="10"/>
    <n v="7"/>
    <n v="870"/>
    <x v="463"/>
    <x v="3"/>
    <x v="4"/>
    <n v="3"/>
    <s v="Yes"/>
  </r>
  <r>
    <n v="466"/>
    <x v="465"/>
    <d v="2025-04-10T00:00:00"/>
    <x v="3"/>
    <s v="Kavya Das"/>
    <n v="53"/>
    <x v="0"/>
    <x v="1"/>
    <x v="4"/>
    <x v="2"/>
    <x v="2"/>
    <x v="6"/>
    <n v="3"/>
    <n v="40001"/>
    <x v="464"/>
    <x v="0"/>
    <x v="4"/>
    <n v="1"/>
    <s v="Yes"/>
  </r>
  <r>
    <n v="467"/>
    <x v="466"/>
    <d v="2025-04-11T00:00:00"/>
    <x v="3"/>
    <s v="Pooja Malhotra"/>
    <n v="23"/>
    <x v="2"/>
    <x v="0"/>
    <x v="8"/>
    <x v="3"/>
    <x v="4"/>
    <x v="15"/>
    <n v="5"/>
    <n v="895"/>
    <x v="465"/>
    <x v="4"/>
    <x v="0"/>
    <n v="2"/>
    <s v="Yes"/>
  </r>
  <r>
    <n v="468"/>
    <x v="467"/>
    <d v="2025-04-12T00:00:00"/>
    <x v="3"/>
    <s v="Ananya Bhatia"/>
    <n v="48"/>
    <x v="1"/>
    <x v="1"/>
    <x v="4"/>
    <x v="1"/>
    <x v="1"/>
    <x v="1"/>
    <n v="3"/>
    <n v="12627"/>
    <x v="466"/>
    <x v="3"/>
    <x v="1"/>
    <n v="5"/>
    <s v="No"/>
  </r>
  <r>
    <n v="469"/>
    <x v="468"/>
    <d v="2025-04-13T00:00:00"/>
    <x v="3"/>
    <s v="Sneha Singh"/>
    <n v="23"/>
    <x v="2"/>
    <x v="1"/>
    <x v="3"/>
    <x v="3"/>
    <x v="1"/>
    <x v="20"/>
    <n v="9"/>
    <n v="33400"/>
    <x v="467"/>
    <x v="4"/>
    <x v="2"/>
    <n v="1"/>
    <s v="No"/>
  </r>
  <r>
    <n v="470"/>
    <x v="469"/>
    <d v="2025-04-14T00:00:00"/>
    <x v="3"/>
    <s v="Arjun Mehta"/>
    <n v="40"/>
    <x v="1"/>
    <x v="0"/>
    <x v="1"/>
    <x v="3"/>
    <x v="3"/>
    <x v="22"/>
    <n v="10"/>
    <n v="14218"/>
    <x v="468"/>
    <x v="4"/>
    <x v="6"/>
    <n v="2"/>
    <s v="No"/>
  </r>
  <r>
    <n v="471"/>
    <x v="470"/>
    <d v="2025-04-15T00:00:00"/>
    <x v="3"/>
    <s v="Sanya Patel"/>
    <n v="36"/>
    <x v="1"/>
    <x v="0"/>
    <x v="1"/>
    <x v="2"/>
    <x v="2"/>
    <x v="2"/>
    <n v="9"/>
    <n v="47440"/>
    <x v="469"/>
    <x v="4"/>
    <x v="2"/>
    <n v="4"/>
    <s v="Yes"/>
  </r>
  <r>
    <n v="472"/>
    <x v="471"/>
    <d v="2025-04-16T00:00:00"/>
    <x v="3"/>
    <s v="Pooja Nair"/>
    <n v="38"/>
    <x v="1"/>
    <x v="0"/>
    <x v="4"/>
    <x v="0"/>
    <x v="4"/>
    <x v="5"/>
    <n v="5"/>
    <n v="240"/>
    <x v="470"/>
    <x v="0"/>
    <x v="3"/>
    <n v="1"/>
    <s v="Yes"/>
  </r>
  <r>
    <n v="473"/>
    <x v="472"/>
    <d v="2025-04-17T00:00:00"/>
    <x v="3"/>
    <s v="Kunal Verma"/>
    <n v="38"/>
    <x v="1"/>
    <x v="0"/>
    <x v="9"/>
    <x v="3"/>
    <x v="0"/>
    <x v="23"/>
    <n v="5"/>
    <n v="15741"/>
    <x v="471"/>
    <x v="1"/>
    <x v="8"/>
    <n v="5"/>
    <s v="No"/>
  </r>
  <r>
    <n v="474"/>
    <x v="473"/>
    <d v="2025-04-18T00:00:00"/>
    <x v="3"/>
    <s v="Sanya Gupta"/>
    <n v="47"/>
    <x v="1"/>
    <x v="1"/>
    <x v="6"/>
    <x v="3"/>
    <x v="1"/>
    <x v="11"/>
    <n v="10"/>
    <n v="26727"/>
    <x v="472"/>
    <x v="3"/>
    <x v="0"/>
    <n v="2"/>
    <s v="No"/>
  </r>
  <r>
    <n v="475"/>
    <x v="474"/>
    <d v="2025-04-19T00:00:00"/>
    <x v="3"/>
    <s v="Kavya Sharma"/>
    <n v="41"/>
    <x v="1"/>
    <x v="0"/>
    <x v="8"/>
    <x v="3"/>
    <x v="2"/>
    <x v="2"/>
    <n v="2"/>
    <n v="23970"/>
    <x v="473"/>
    <x v="2"/>
    <x v="3"/>
    <n v="1"/>
    <s v="Yes"/>
  </r>
  <r>
    <n v="476"/>
    <x v="475"/>
    <d v="2025-04-20T00:00:00"/>
    <x v="3"/>
    <s v="Sneha Singh"/>
    <n v="58"/>
    <x v="0"/>
    <x v="0"/>
    <x v="9"/>
    <x v="0"/>
    <x v="2"/>
    <x v="2"/>
    <n v="2"/>
    <n v="42773"/>
    <x v="474"/>
    <x v="3"/>
    <x v="9"/>
    <n v="4"/>
    <s v="Yes"/>
  </r>
  <r>
    <n v="477"/>
    <x v="476"/>
    <d v="2025-04-21T00:00:00"/>
    <x v="3"/>
    <s v="Raj Verma"/>
    <n v="58"/>
    <x v="0"/>
    <x v="0"/>
    <x v="3"/>
    <x v="1"/>
    <x v="1"/>
    <x v="20"/>
    <n v="4"/>
    <n v="34464"/>
    <x v="475"/>
    <x v="3"/>
    <x v="0"/>
    <n v="5"/>
    <s v="No"/>
  </r>
  <r>
    <n v="478"/>
    <x v="477"/>
    <d v="2025-04-22T00:00:00"/>
    <x v="3"/>
    <s v="Aarav Sharma"/>
    <n v="52"/>
    <x v="0"/>
    <x v="1"/>
    <x v="4"/>
    <x v="0"/>
    <x v="4"/>
    <x v="15"/>
    <n v="4"/>
    <n v="86"/>
    <x v="476"/>
    <x v="3"/>
    <x v="7"/>
    <n v="2"/>
    <s v="No"/>
  </r>
  <r>
    <n v="479"/>
    <x v="478"/>
    <d v="2025-04-23T00:00:00"/>
    <x v="3"/>
    <s v="Ravi Verma"/>
    <n v="54"/>
    <x v="0"/>
    <x v="0"/>
    <x v="4"/>
    <x v="3"/>
    <x v="1"/>
    <x v="19"/>
    <n v="2"/>
    <n v="24143"/>
    <x v="477"/>
    <x v="2"/>
    <x v="3"/>
    <n v="1"/>
    <s v="No"/>
  </r>
  <r>
    <n v="480"/>
    <x v="479"/>
    <d v="2025-04-24T00:00:00"/>
    <x v="3"/>
    <s v="Tanvi Singh"/>
    <n v="57"/>
    <x v="0"/>
    <x v="1"/>
    <x v="4"/>
    <x v="0"/>
    <x v="1"/>
    <x v="11"/>
    <n v="6"/>
    <n v="38722"/>
    <x v="478"/>
    <x v="4"/>
    <x v="0"/>
    <n v="1"/>
    <s v="Yes"/>
  </r>
  <r>
    <n v="481"/>
    <x v="480"/>
    <d v="2025-04-25T00:00:00"/>
    <x v="3"/>
    <s v="Ravi Singh"/>
    <n v="37"/>
    <x v="1"/>
    <x v="1"/>
    <x v="2"/>
    <x v="3"/>
    <x v="2"/>
    <x v="9"/>
    <n v="3"/>
    <n v="26763"/>
    <x v="479"/>
    <x v="3"/>
    <x v="2"/>
    <n v="5"/>
    <s v="No"/>
  </r>
  <r>
    <n v="482"/>
    <x v="481"/>
    <d v="2025-04-26T00:00:00"/>
    <x v="3"/>
    <s v="Rohan Agarwal"/>
    <n v="44"/>
    <x v="1"/>
    <x v="1"/>
    <x v="2"/>
    <x v="1"/>
    <x v="4"/>
    <x v="7"/>
    <n v="4"/>
    <n v="1792"/>
    <x v="480"/>
    <x v="3"/>
    <x v="3"/>
    <n v="5"/>
    <s v="No"/>
  </r>
  <r>
    <n v="483"/>
    <x v="482"/>
    <d v="2025-04-27T00:00:00"/>
    <x v="3"/>
    <s v="Raj Nair"/>
    <n v="19"/>
    <x v="2"/>
    <x v="1"/>
    <x v="9"/>
    <x v="3"/>
    <x v="0"/>
    <x v="23"/>
    <n v="1"/>
    <n v="17201"/>
    <x v="481"/>
    <x v="1"/>
    <x v="5"/>
    <n v="5"/>
    <s v="No"/>
  </r>
  <r>
    <n v="484"/>
    <x v="483"/>
    <d v="2025-04-28T00:00:00"/>
    <x v="3"/>
    <s v="Ravi Bose"/>
    <n v="20"/>
    <x v="2"/>
    <x v="1"/>
    <x v="4"/>
    <x v="0"/>
    <x v="3"/>
    <x v="24"/>
    <n v="5"/>
    <n v="38121"/>
    <x v="482"/>
    <x v="2"/>
    <x v="9"/>
    <n v="2"/>
    <s v="No"/>
  </r>
  <r>
    <n v="485"/>
    <x v="484"/>
    <d v="2025-04-29T00:00:00"/>
    <x v="3"/>
    <s v="Pooja Chopra"/>
    <n v="39"/>
    <x v="1"/>
    <x v="1"/>
    <x v="7"/>
    <x v="3"/>
    <x v="2"/>
    <x v="14"/>
    <n v="1"/>
    <n v="37686"/>
    <x v="483"/>
    <x v="1"/>
    <x v="5"/>
    <n v="1"/>
    <s v="Yes"/>
  </r>
  <r>
    <n v="486"/>
    <x v="485"/>
    <d v="2025-04-30T00:00:00"/>
    <x v="3"/>
    <s v="Aditya Roy"/>
    <n v="31"/>
    <x v="1"/>
    <x v="0"/>
    <x v="3"/>
    <x v="2"/>
    <x v="0"/>
    <x v="23"/>
    <n v="10"/>
    <n v="20536"/>
    <x v="484"/>
    <x v="2"/>
    <x v="7"/>
    <n v="5"/>
    <s v="No"/>
  </r>
  <r>
    <n v="487"/>
    <x v="486"/>
    <d v="2025-05-01T00:00:00"/>
    <x v="4"/>
    <s v="Meera Kapoor"/>
    <n v="41"/>
    <x v="1"/>
    <x v="1"/>
    <x v="1"/>
    <x v="1"/>
    <x v="2"/>
    <x v="6"/>
    <n v="1"/>
    <n v="35477"/>
    <x v="485"/>
    <x v="0"/>
    <x v="3"/>
    <n v="2"/>
    <s v="No"/>
  </r>
  <r>
    <n v="488"/>
    <x v="487"/>
    <d v="2025-05-02T00:00:00"/>
    <x v="4"/>
    <s v="Meera Kapoor"/>
    <n v="46"/>
    <x v="1"/>
    <x v="1"/>
    <x v="6"/>
    <x v="2"/>
    <x v="3"/>
    <x v="16"/>
    <n v="8"/>
    <n v="6110"/>
    <x v="486"/>
    <x v="1"/>
    <x v="3"/>
    <n v="2"/>
    <s v="Yes"/>
  </r>
  <r>
    <n v="489"/>
    <x v="488"/>
    <d v="2025-05-03T00:00:00"/>
    <x v="4"/>
    <s v="Kavya Bhatia"/>
    <n v="55"/>
    <x v="0"/>
    <x v="0"/>
    <x v="9"/>
    <x v="3"/>
    <x v="4"/>
    <x v="10"/>
    <n v="4"/>
    <n v="1510"/>
    <x v="487"/>
    <x v="2"/>
    <x v="0"/>
    <n v="4"/>
    <s v="Yes"/>
  </r>
  <r>
    <n v="490"/>
    <x v="489"/>
    <d v="2025-05-04T00:00:00"/>
    <x v="4"/>
    <s v="Vikram Malhotra"/>
    <n v="33"/>
    <x v="1"/>
    <x v="1"/>
    <x v="5"/>
    <x v="1"/>
    <x v="1"/>
    <x v="11"/>
    <n v="7"/>
    <n v="37009"/>
    <x v="488"/>
    <x v="3"/>
    <x v="6"/>
    <n v="3"/>
    <s v="No"/>
  </r>
  <r>
    <n v="491"/>
    <x v="490"/>
    <d v="2025-05-05T00:00:00"/>
    <x v="4"/>
    <s v="Ishita Patel"/>
    <n v="18"/>
    <x v="2"/>
    <x v="1"/>
    <x v="9"/>
    <x v="1"/>
    <x v="3"/>
    <x v="16"/>
    <n v="8"/>
    <n v="10634"/>
    <x v="489"/>
    <x v="4"/>
    <x v="9"/>
    <n v="5"/>
    <s v="Yes"/>
  </r>
  <r>
    <n v="492"/>
    <x v="491"/>
    <d v="2025-05-06T00:00:00"/>
    <x v="4"/>
    <s v="Ishita Gupta"/>
    <n v="41"/>
    <x v="1"/>
    <x v="0"/>
    <x v="6"/>
    <x v="3"/>
    <x v="2"/>
    <x v="6"/>
    <n v="8"/>
    <n v="10805"/>
    <x v="490"/>
    <x v="4"/>
    <x v="3"/>
    <n v="4"/>
    <s v="Yes"/>
  </r>
  <r>
    <n v="493"/>
    <x v="492"/>
    <d v="2025-05-07T00:00:00"/>
    <x v="4"/>
    <s v="Meera Bose"/>
    <n v="53"/>
    <x v="0"/>
    <x v="0"/>
    <x v="9"/>
    <x v="3"/>
    <x v="0"/>
    <x v="8"/>
    <n v="3"/>
    <n v="18014"/>
    <x v="491"/>
    <x v="3"/>
    <x v="5"/>
    <n v="4"/>
    <s v="Yes"/>
  </r>
  <r>
    <n v="494"/>
    <x v="493"/>
    <d v="2025-05-08T00:00:00"/>
    <x v="4"/>
    <s v="Divya Sen"/>
    <n v="27"/>
    <x v="2"/>
    <x v="1"/>
    <x v="5"/>
    <x v="1"/>
    <x v="4"/>
    <x v="15"/>
    <n v="10"/>
    <n v="1647"/>
    <x v="492"/>
    <x v="4"/>
    <x v="9"/>
    <n v="5"/>
    <s v="Yes"/>
  </r>
  <r>
    <n v="495"/>
    <x v="494"/>
    <d v="2025-05-09T00:00:00"/>
    <x v="4"/>
    <s v="Sanya Das"/>
    <n v="30"/>
    <x v="1"/>
    <x v="1"/>
    <x v="2"/>
    <x v="2"/>
    <x v="4"/>
    <x v="5"/>
    <n v="6"/>
    <n v="1141"/>
    <x v="493"/>
    <x v="1"/>
    <x v="2"/>
    <n v="2"/>
    <s v="No"/>
  </r>
  <r>
    <n v="496"/>
    <x v="495"/>
    <d v="2025-05-10T00:00:00"/>
    <x v="4"/>
    <s v="Meera Verma"/>
    <n v="49"/>
    <x v="1"/>
    <x v="0"/>
    <x v="2"/>
    <x v="0"/>
    <x v="4"/>
    <x v="15"/>
    <n v="3"/>
    <n v="184"/>
    <x v="494"/>
    <x v="4"/>
    <x v="6"/>
    <n v="5"/>
    <s v="No"/>
  </r>
  <r>
    <n v="497"/>
    <x v="496"/>
    <d v="2025-05-11T00:00:00"/>
    <x v="4"/>
    <s v="Ananya Gupta"/>
    <n v="38"/>
    <x v="1"/>
    <x v="0"/>
    <x v="5"/>
    <x v="3"/>
    <x v="3"/>
    <x v="3"/>
    <n v="3"/>
    <n v="46094"/>
    <x v="495"/>
    <x v="0"/>
    <x v="8"/>
    <n v="2"/>
    <s v="No"/>
  </r>
  <r>
    <n v="498"/>
    <x v="497"/>
    <d v="2025-05-12T00:00:00"/>
    <x v="4"/>
    <s v="Sanya Das"/>
    <n v="40"/>
    <x v="1"/>
    <x v="0"/>
    <x v="7"/>
    <x v="0"/>
    <x v="1"/>
    <x v="20"/>
    <n v="10"/>
    <n v="12984"/>
    <x v="496"/>
    <x v="4"/>
    <x v="5"/>
    <n v="5"/>
    <s v="Yes"/>
  </r>
  <r>
    <n v="499"/>
    <x v="498"/>
    <d v="2025-05-13T00:00:00"/>
    <x v="4"/>
    <s v="Rohan Ghosh"/>
    <n v="38"/>
    <x v="1"/>
    <x v="0"/>
    <x v="9"/>
    <x v="0"/>
    <x v="1"/>
    <x v="20"/>
    <n v="8"/>
    <n v="32531"/>
    <x v="497"/>
    <x v="3"/>
    <x v="3"/>
    <n v="5"/>
    <s v="Yes"/>
  </r>
  <r>
    <n v="500"/>
    <x v="499"/>
    <d v="2025-05-14T00:00:00"/>
    <x v="4"/>
    <s v="Priya Agarwal"/>
    <n v="27"/>
    <x v="2"/>
    <x v="1"/>
    <x v="7"/>
    <x v="1"/>
    <x v="4"/>
    <x v="10"/>
    <n v="1"/>
    <n v="1354"/>
    <x v="498"/>
    <x v="3"/>
    <x v="5"/>
    <n v="3"/>
    <s v="Yes"/>
  </r>
  <r>
    <n v="501"/>
    <x v="500"/>
    <d v="2025-05-15T00:00:00"/>
    <x v="4"/>
    <s v="Ananya Jain"/>
    <n v="37"/>
    <x v="1"/>
    <x v="0"/>
    <x v="8"/>
    <x v="2"/>
    <x v="3"/>
    <x v="3"/>
    <n v="6"/>
    <n v="30673"/>
    <x v="499"/>
    <x v="0"/>
    <x v="8"/>
    <n v="2"/>
    <s v="No"/>
  </r>
  <r>
    <n v="502"/>
    <x v="501"/>
    <d v="2025-05-16T00:00:00"/>
    <x v="4"/>
    <s v="Aarav Bose"/>
    <n v="51"/>
    <x v="0"/>
    <x v="0"/>
    <x v="5"/>
    <x v="0"/>
    <x v="2"/>
    <x v="18"/>
    <n v="2"/>
    <n v="22055"/>
    <x v="500"/>
    <x v="2"/>
    <x v="0"/>
    <n v="3"/>
    <s v="No"/>
  </r>
  <r>
    <n v="503"/>
    <x v="502"/>
    <d v="2025-05-17T00:00:00"/>
    <x v="4"/>
    <s v="Vikram Ghosh"/>
    <n v="47"/>
    <x v="1"/>
    <x v="0"/>
    <x v="5"/>
    <x v="1"/>
    <x v="1"/>
    <x v="21"/>
    <n v="10"/>
    <n v="45781"/>
    <x v="501"/>
    <x v="3"/>
    <x v="9"/>
    <n v="4"/>
    <s v="No"/>
  </r>
  <r>
    <n v="504"/>
    <x v="503"/>
    <d v="2025-05-18T00:00:00"/>
    <x v="4"/>
    <s v="Ravi Singh"/>
    <n v="46"/>
    <x v="1"/>
    <x v="0"/>
    <x v="6"/>
    <x v="0"/>
    <x v="3"/>
    <x v="22"/>
    <n v="4"/>
    <n v="19342"/>
    <x v="502"/>
    <x v="3"/>
    <x v="6"/>
    <n v="2"/>
    <s v="No"/>
  </r>
  <r>
    <n v="505"/>
    <x v="504"/>
    <d v="2025-05-19T00:00:00"/>
    <x v="4"/>
    <s v="Aarav Nair"/>
    <n v="52"/>
    <x v="0"/>
    <x v="0"/>
    <x v="5"/>
    <x v="3"/>
    <x v="2"/>
    <x v="6"/>
    <n v="5"/>
    <n v="7012"/>
    <x v="503"/>
    <x v="4"/>
    <x v="5"/>
    <n v="2"/>
    <s v="No"/>
  </r>
  <r>
    <n v="506"/>
    <x v="505"/>
    <d v="2025-05-20T00:00:00"/>
    <x v="4"/>
    <s v="Vikram Verma"/>
    <n v="24"/>
    <x v="2"/>
    <x v="1"/>
    <x v="5"/>
    <x v="1"/>
    <x v="0"/>
    <x v="17"/>
    <n v="4"/>
    <n v="7215"/>
    <x v="504"/>
    <x v="0"/>
    <x v="7"/>
    <n v="1"/>
    <s v="Yes"/>
  </r>
  <r>
    <n v="507"/>
    <x v="506"/>
    <d v="2025-05-21T00:00:00"/>
    <x v="4"/>
    <s v="Ishita Mehta"/>
    <n v="38"/>
    <x v="1"/>
    <x v="0"/>
    <x v="3"/>
    <x v="0"/>
    <x v="0"/>
    <x v="8"/>
    <n v="4"/>
    <n v="17607"/>
    <x v="505"/>
    <x v="3"/>
    <x v="3"/>
    <n v="1"/>
    <s v="No"/>
  </r>
  <r>
    <n v="508"/>
    <x v="507"/>
    <d v="2025-05-22T00:00:00"/>
    <x v="4"/>
    <s v="Neha Agarwal"/>
    <n v="23"/>
    <x v="2"/>
    <x v="0"/>
    <x v="9"/>
    <x v="3"/>
    <x v="2"/>
    <x v="6"/>
    <n v="3"/>
    <n v="17108"/>
    <x v="506"/>
    <x v="1"/>
    <x v="6"/>
    <n v="4"/>
    <s v="Yes"/>
  </r>
  <r>
    <n v="509"/>
    <x v="508"/>
    <d v="2025-05-23T00:00:00"/>
    <x v="4"/>
    <s v="Neha Sen"/>
    <n v="51"/>
    <x v="0"/>
    <x v="0"/>
    <x v="9"/>
    <x v="2"/>
    <x v="1"/>
    <x v="19"/>
    <n v="4"/>
    <n v="17701"/>
    <x v="507"/>
    <x v="2"/>
    <x v="4"/>
    <n v="3"/>
    <s v="No"/>
  </r>
  <r>
    <n v="510"/>
    <x v="509"/>
    <d v="2025-05-24T00:00:00"/>
    <x v="4"/>
    <s v="Vikram Bose"/>
    <n v="43"/>
    <x v="1"/>
    <x v="0"/>
    <x v="2"/>
    <x v="3"/>
    <x v="1"/>
    <x v="20"/>
    <n v="5"/>
    <n v="24730"/>
    <x v="508"/>
    <x v="4"/>
    <x v="8"/>
    <n v="1"/>
    <s v="Yes"/>
  </r>
  <r>
    <n v="511"/>
    <x v="510"/>
    <d v="2025-05-25T00:00:00"/>
    <x v="4"/>
    <s v="Sneha Malhotra"/>
    <n v="21"/>
    <x v="2"/>
    <x v="1"/>
    <x v="3"/>
    <x v="2"/>
    <x v="2"/>
    <x v="18"/>
    <n v="7"/>
    <n v="34571"/>
    <x v="509"/>
    <x v="1"/>
    <x v="2"/>
    <n v="4"/>
    <s v="Yes"/>
  </r>
  <r>
    <n v="512"/>
    <x v="511"/>
    <d v="2025-05-26T00:00:00"/>
    <x v="4"/>
    <s v="Priya Reddy"/>
    <n v="56"/>
    <x v="0"/>
    <x v="1"/>
    <x v="9"/>
    <x v="1"/>
    <x v="4"/>
    <x v="10"/>
    <n v="6"/>
    <n v="1428"/>
    <x v="510"/>
    <x v="2"/>
    <x v="8"/>
    <n v="4"/>
    <s v="Yes"/>
  </r>
  <r>
    <n v="513"/>
    <x v="512"/>
    <d v="2025-05-27T00:00:00"/>
    <x v="4"/>
    <s v="Raj Roy"/>
    <n v="37"/>
    <x v="1"/>
    <x v="1"/>
    <x v="5"/>
    <x v="1"/>
    <x v="4"/>
    <x v="10"/>
    <n v="8"/>
    <n v="1145"/>
    <x v="511"/>
    <x v="3"/>
    <x v="8"/>
    <n v="4"/>
    <s v="No"/>
  </r>
  <r>
    <n v="514"/>
    <x v="513"/>
    <d v="2025-05-28T00:00:00"/>
    <x v="4"/>
    <s v="Pooja Iyer"/>
    <n v="57"/>
    <x v="0"/>
    <x v="1"/>
    <x v="9"/>
    <x v="1"/>
    <x v="1"/>
    <x v="11"/>
    <n v="2"/>
    <n v="41303"/>
    <x v="512"/>
    <x v="1"/>
    <x v="3"/>
    <n v="4"/>
    <s v="Yes"/>
  </r>
  <r>
    <n v="515"/>
    <x v="514"/>
    <d v="2025-05-29T00:00:00"/>
    <x v="4"/>
    <s v="Kunal Kapoor"/>
    <n v="59"/>
    <x v="0"/>
    <x v="0"/>
    <x v="7"/>
    <x v="2"/>
    <x v="1"/>
    <x v="20"/>
    <n v="10"/>
    <n v="8847"/>
    <x v="513"/>
    <x v="1"/>
    <x v="4"/>
    <n v="3"/>
    <s v="Yes"/>
  </r>
  <r>
    <n v="516"/>
    <x v="515"/>
    <d v="2025-05-30T00:00:00"/>
    <x v="4"/>
    <s v="Ananya Mehta"/>
    <n v="43"/>
    <x v="1"/>
    <x v="1"/>
    <x v="2"/>
    <x v="0"/>
    <x v="1"/>
    <x v="19"/>
    <n v="6"/>
    <n v="24866"/>
    <x v="514"/>
    <x v="2"/>
    <x v="3"/>
    <n v="4"/>
    <s v="Yes"/>
  </r>
  <r>
    <n v="517"/>
    <x v="516"/>
    <d v="2025-05-31T00:00:00"/>
    <x v="4"/>
    <s v="Vikram Roy"/>
    <n v="33"/>
    <x v="1"/>
    <x v="0"/>
    <x v="8"/>
    <x v="3"/>
    <x v="2"/>
    <x v="18"/>
    <n v="2"/>
    <n v="30231"/>
    <x v="515"/>
    <x v="0"/>
    <x v="7"/>
    <n v="3"/>
    <s v="No"/>
  </r>
  <r>
    <n v="518"/>
    <x v="517"/>
    <d v="2025-06-01T00:00:00"/>
    <x v="5"/>
    <s v="Aarav Bose"/>
    <n v="34"/>
    <x v="1"/>
    <x v="0"/>
    <x v="4"/>
    <x v="3"/>
    <x v="0"/>
    <x v="0"/>
    <n v="8"/>
    <n v="3332"/>
    <x v="516"/>
    <x v="1"/>
    <x v="8"/>
    <n v="3"/>
    <s v="Yes"/>
  </r>
  <r>
    <n v="519"/>
    <x v="518"/>
    <d v="2025-06-02T00:00:00"/>
    <x v="5"/>
    <s v="Tanvi Das"/>
    <n v="25"/>
    <x v="2"/>
    <x v="1"/>
    <x v="5"/>
    <x v="2"/>
    <x v="4"/>
    <x v="10"/>
    <n v="6"/>
    <n v="334"/>
    <x v="517"/>
    <x v="0"/>
    <x v="9"/>
    <n v="5"/>
    <s v="No"/>
  </r>
  <r>
    <n v="520"/>
    <x v="519"/>
    <d v="2025-06-03T00:00:00"/>
    <x v="5"/>
    <s v="Aarav Patel"/>
    <n v="38"/>
    <x v="1"/>
    <x v="0"/>
    <x v="0"/>
    <x v="0"/>
    <x v="2"/>
    <x v="2"/>
    <n v="9"/>
    <n v="11220"/>
    <x v="518"/>
    <x v="1"/>
    <x v="4"/>
    <n v="2"/>
    <s v="No"/>
  </r>
  <r>
    <n v="521"/>
    <x v="520"/>
    <d v="2025-06-04T00:00:00"/>
    <x v="5"/>
    <s v="Sneha Mehta"/>
    <n v="22"/>
    <x v="2"/>
    <x v="0"/>
    <x v="0"/>
    <x v="1"/>
    <x v="1"/>
    <x v="11"/>
    <n v="10"/>
    <n v="13015"/>
    <x v="519"/>
    <x v="0"/>
    <x v="0"/>
    <n v="2"/>
    <s v="No"/>
  </r>
  <r>
    <n v="522"/>
    <x v="521"/>
    <d v="2025-06-05T00:00:00"/>
    <x v="5"/>
    <s v="Priya Patel"/>
    <n v="57"/>
    <x v="0"/>
    <x v="1"/>
    <x v="0"/>
    <x v="0"/>
    <x v="2"/>
    <x v="6"/>
    <n v="4"/>
    <n v="40111"/>
    <x v="520"/>
    <x v="4"/>
    <x v="6"/>
    <n v="5"/>
    <s v="Yes"/>
  </r>
  <r>
    <n v="523"/>
    <x v="522"/>
    <d v="2025-06-06T00:00:00"/>
    <x v="5"/>
    <s v="Aditya Kapoor"/>
    <n v="32"/>
    <x v="1"/>
    <x v="1"/>
    <x v="4"/>
    <x v="1"/>
    <x v="2"/>
    <x v="14"/>
    <n v="7"/>
    <n v="13304"/>
    <x v="521"/>
    <x v="0"/>
    <x v="7"/>
    <n v="1"/>
    <s v="No"/>
  </r>
  <r>
    <n v="524"/>
    <x v="523"/>
    <d v="2025-06-07T00:00:00"/>
    <x v="5"/>
    <s v="Ravi Mehta"/>
    <n v="52"/>
    <x v="0"/>
    <x v="1"/>
    <x v="3"/>
    <x v="3"/>
    <x v="3"/>
    <x v="12"/>
    <n v="1"/>
    <n v="36959"/>
    <x v="522"/>
    <x v="2"/>
    <x v="7"/>
    <n v="1"/>
    <s v="Yes"/>
  </r>
  <r>
    <n v="525"/>
    <x v="524"/>
    <d v="2025-06-08T00:00:00"/>
    <x v="5"/>
    <s v="Ishita Das"/>
    <n v="52"/>
    <x v="0"/>
    <x v="1"/>
    <x v="2"/>
    <x v="2"/>
    <x v="2"/>
    <x v="18"/>
    <n v="7"/>
    <n v="11995"/>
    <x v="523"/>
    <x v="4"/>
    <x v="2"/>
    <n v="3"/>
    <s v="No"/>
  </r>
  <r>
    <n v="526"/>
    <x v="525"/>
    <d v="2025-06-09T00:00:00"/>
    <x v="5"/>
    <s v="Priya Nair"/>
    <n v="37"/>
    <x v="1"/>
    <x v="1"/>
    <x v="7"/>
    <x v="3"/>
    <x v="4"/>
    <x v="7"/>
    <n v="8"/>
    <n v="1822"/>
    <x v="524"/>
    <x v="3"/>
    <x v="7"/>
    <n v="2"/>
    <s v="No"/>
  </r>
  <r>
    <n v="527"/>
    <x v="526"/>
    <d v="2025-06-10T00:00:00"/>
    <x v="5"/>
    <s v="Aarav Patel"/>
    <n v="24"/>
    <x v="2"/>
    <x v="1"/>
    <x v="3"/>
    <x v="1"/>
    <x v="2"/>
    <x v="2"/>
    <n v="4"/>
    <n v="17696"/>
    <x v="525"/>
    <x v="4"/>
    <x v="6"/>
    <n v="3"/>
    <s v="Yes"/>
  </r>
  <r>
    <n v="528"/>
    <x v="527"/>
    <d v="2025-06-11T00:00:00"/>
    <x v="5"/>
    <s v="Aditya Roy"/>
    <n v="24"/>
    <x v="2"/>
    <x v="1"/>
    <x v="8"/>
    <x v="3"/>
    <x v="1"/>
    <x v="21"/>
    <n v="5"/>
    <n v="38832"/>
    <x v="526"/>
    <x v="3"/>
    <x v="8"/>
    <n v="5"/>
    <s v="No"/>
  </r>
  <r>
    <n v="529"/>
    <x v="528"/>
    <d v="2025-06-12T00:00:00"/>
    <x v="5"/>
    <s v="Aarav Nair"/>
    <n v="37"/>
    <x v="1"/>
    <x v="1"/>
    <x v="1"/>
    <x v="3"/>
    <x v="3"/>
    <x v="12"/>
    <n v="3"/>
    <n v="38018"/>
    <x v="527"/>
    <x v="0"/>
    <x v="3"/>
    <n v="5"/>
    <s v="No"/>
  </r>
  <r>
    <n v="530"/>
    <x v="529"/>
    <d v="2025-06-13T00:00:00"/>
    <x v="5"/>
    <s v="Ravi Singh"/>
    <n v="56"/>
    <x v="0"/>
    <x v="0"/>
    <x v="6"/>
    <x v="1"/>
    <x v="1"/>
    <x v="21"/>
    <n v="9"/>
    <n v="32778"/>
    <x v="528"/>
    <x v="2"/>
    <x v="5"/>
    <n v="4"/>
    <s v="Yes"/>
  </r>
  <r>
    <n v="531"/>
    <x v="530"/>
    <d v="2025-06-14T00:00:00"/>
    <x v="5"/>
    <s v="Sanya Malhotra"/>
    <n v="38"/>
    <x v="1"/>
    <x v="1"/>
    <x v="9"/>
    <x v="2"/>
    <x v="1"/>
    <x v="1"/>
    <n v="10"/>
    <n v="23328"/>
    <x v="529"/>
    <x v="1"/>
    <x v="0"/>
    <n v="4"/>
    <s v="Yes"/>
  </r>
  <r>
    <n v="532"/>
    <x v="531"/>
    <d v="2025-06-15T00:00:00"/>
    <x v="5"/>
    <s v="Kunal Agarwal"/>
    <n v="51"/>
    <x v="0"/>
    <x v="0"/>
    <x v="6"/>
    <x v="2"/>
    <x v="1"/>
    <x v="1"/>
    <n v="3"/>
    <n v="1195"/>
    <x v="530"/>
    <x v="1"/>
    <x v="6"/>
    <n v="1"/>
    <s v="Yes"/>
  </r>
  <r>
    <n v="533"/>
    <x v="532"/>
    <d v="2025-06-16T00:00:00"/>
    <x v="5"/>
    <s v="Raj Nair"/>
    <n v="31"/>
    <x v="1"/>
    <x v="0"/>
    <x v="5"/>
    <x v="1"/>
    <x v="1"/>
    <x v="19"/>
    <n v="7"/>
    <n v="1866"/>
    <x v="531"/>
    <x v="0"/>
    <x v="7"/>
    <n v="4"/>
    <s v="Yes"/>
  </r>
  <r>
    <n v="534"/>
    <x v="533"/>
    <d v="2025-06-17T00:00:00"/>
    <x v="5"/>
    <s v="Vikram Roy"/>
    <n v="33"/>
    <x v="1"/>
    <x v="0"/>
    <x v="2"/>
    <x v="1"/>
    <x v="3"/>
    <x v="3"/>
    <n v="10"/>
    <n v="47463"/>
    <x v="532"/>
    <x v="2"/>
    <x v="6"/>
    <n v="1"/>
    <s v="No"/>
  </r>
  <r>
    <n v="535"/>
    <x v="534"/>
    <d v="2025-06-18T00:00:00"/>
    <x v="5"/>
    <s v="Arjun Sharma"/>
    <n v="56"/>
    <x v="0"/>
    <x v="0"/>
    <x v="4"/>
    <x v="2"/>
    <x v="3"/>
    <x v="3"/>
    <n v="10"/>
    <n v="35337"/>
    <x v="533"/>
    <x v="2"/>
    <x v="1"/>
    <n v="5"/>
    <s v="Yes"/>
  </r>
  <r>
    <n v="536"/>
    <x v="535"/>
    <d v="2025-06-19T00:00:00"/>
    <x v="5"/>
    <s v="Priya Nair"/>
    <n v="31"/>
    <x v="1"/>
    <x v="1"/>
    <x v="4"/>
    <x v="3"/>
    <x v="0"/>
    <x v="17"/>
    <n v="7"/>
    <n v="43060"/>
    <x v="534"/>
    <x v="1"/>
    <x v="1"/>
    <n v="4"/>
    <s v="Yes"/>
  </r>
  <r>
    <n v="537"/>
    <x v="536"/>
    <d v="2025-06-20T00:00:00"/>
    <x v="5"/>
    <s v="Tanvi Gupta"/>
    <n v="28"/>
    <x v="2"/>
    <x v="1"/>
    <x v="8"/>
    <x v="2"/>
    <x v="0"/>
    <x v="23"/>
    <n v="4"/>
    <n v="20064"/>
    <x v="535"/>
    <x v="1"/>
    <x v="9"/>
    <n v="4"/>
    <s v="Yes"/>
  </r>
  <r>
    <n v="538"/>
    <x v="537"/>
    <d v="2025-06-21T00:00:00"/>
    <x v="5"/>
    <s v="Divya Nair"/>
    <n v="37"/>
    <x v="1"/>
    <x v="1"/>
    <x v="0"/>
    <x v="2"/>
    <x v="4"/>
    <x v="7"/>
    <n v="2"/>
    <n v="207"/>
    <x v="536"/>
    <x v="4"/>
    <x v="0"/>
    <n v="2"/>
    <s v="Yes"/>
  </r>
  <r>
    <n v="539"/>
    <x v="538"/>
    <d v="2025-06-22T00:00:00"/>
    <x v="5"/>
    <s v="Aarav Bhatia"/>
    <n v="30"/>
    <x v="1"/>
    <x v="1"/>
    <x v="5"/>
    <x v="2"/>
    <x v="1"/>
    <x v="11"/>
    <n v="5"/>
    <n v="46085"/>
    <x v="537"/>
    <x v="4"/>
    <x v="7"/>
    <n v="3"/>
    <s v="No"/>
  </r>
  <r>
    <n v="540"/>
    <x v="539"/>
    <d v="2025-06-23T00:00:00"/>
    <x v="5"/>
    <s v="Arjun Mehta"/>
    <n v="21"/>
    <x v="2"/>
    <x v="1"/>
    <x v="1"/>
    <x v="3"/>
    <x v="2"/>
    <x v="9"/>
    <n v="7"/>
    <n v="2302"/>
    <x v="538"/>
    <x v="2"/>
    <x v="3"/>
    <n v="5"/>
    <s v="No"/>
  </r>
  <r>
    <n v="541"/>
    <x v="540"/>
    <d v="2025-06-24T00:00:00"/>
    <x v="5"/>
    <s v="Priya Sen"/>
    <n v="54"/>
    <x v="0"/>
    <x v="0"/>
    <x v="0"/>
    <x v="1"/>
    <x v="2"/>
    <x v="18"/>
    <n v="10"/>
    <n v="31193"/>
    <x v="539"/>
    <x v="4"/>
    <x v="2"/>
    <n v="3"/>
    <s v="Yes"/>
  </r>
  <r>
    <n v="542"/>
    <x v="541"/>
    <d v="2025-06-25T00:00:00"/>
    <x v="5"/>
    <s v="Kavya Patel"/>
    <n v="59"/>
    <x v="0"/>
    <x v="0"/>
    <x v="9"/>
    <x v="2"/>
    <x v="1"/>
    <x v="21"/>
    <n v="10"/>
    <n v="17789"/>
    <x v="540"/>
    <x v="1"/>
    <x v="7"/>
    <n v="1"/>
    <s v="No"/>
  </r>
  <r>
    <n v="543"/>
    <x v="542"/>
    <d v="2025-06-26T00:00:00"/>
    <x v="5"/>
    <s v="Manish Kapoor"/>
    <n v="49"/>
    <x v="1"/>
    <x v="0"/>
    <x v="8"/>
    <x v="1"/>
    <x v="1"/>
    <x v="19"/>
    <n v="4"/>
    <n v="14901"/>
    <x v="541"/>
    <x v="4"/>
    <x v="7"/>
    <n v="1"/>
    <s v="Yes"/>
  </r>
  <r>
    <n v="544"/>
    <x v="543"/>
    <d v="2025-06-27T00:00:00"/>
    <x v="5"/>
    <s v="Priya Bose"/>
    <n v="37"/>
    <x v="1"/>
    <x v="0"/>
    <x v="0"/>
    <x v="2"/>
    <x v="1"/>
    <x v="19"/>
    <n v="10"/>
    <n v="2812"/>
    <x v="542"/>
    <x v="0"/>
    <x v="3"/>
    <n v="5"/>
    <s v="No"/>
  </r>
  <r>
    <n v="545"/>
    <x v="544"/>
    <d v="2025-06-28T00:00:00"/>
    <x v="5"/>
    <s v="Divya Patel"/>
    <n v="57"/>
    <x v="0"/>
    <x v="1"/>
    <x v="4"/>
    <x v="3"/>
    <x v="4"/>
    <x v="4"/>
    <n v="7"/>
    <n v="1636"/>
    <x v="543"/>
    <x v="1"/>
    <x v="9"/>
    <n v="1"/>
    <s v="No"/>
  </r>
  <r>
    <n v="546"/>
    <x v="545"/>
    <d v="2025-06-29T00:00:00"/>
    <x v="5"/>
    <s v="Ishita Sen"/>
    <n v="58"/>
    <x v="0"/>
    <x v="1"/>
    <x v="3"/>
    <x v="2"/>
    <x v="0"/>
    <x v="17"/>
    <n v="2"/>
    <n v="9375"/>
    <x v="544"/>
    <x v="3"/>
    <x v="9"/>
    <n v="4"/>
    <s v="No"/>
  </r>
  <r>
    <n v="547"/>
    <x v="546"/>
    <d v="2025-06-30T00:00:00"/>
    <x v="5"/>
    <s v="Rohan Mehta"/>
    <n v="30"/>
    <x v="1"/>
    <x v="0"/>
    <x v="6"/>
    <x v="2"/>
    <x v="2"/>
    <x v="14"/>
    <n v="9"/>
    <n v="28462"/>
    <x v="545"/>
    <x v="4"/>
    <x v="9"/>
    <n v="1"/>
    <s v="No"/>
  </r>
  <r>
    <n v="548"/>
    <x v="547"/>
    <d v="2025-07-01T00:00:00"/>
    <x v="6"/>
    <s v="Tanvi Verma"/>
    <n v="24"/>
    <x v="2"/>
    <x v="1"/>
    <x v="1"/>
    <x v="0"/>
    <x v="3"/>
    <x v="22"/>
    <n v="3"/>
    <n v="41482"/>
    <x v="546"/>
    <x v="3"/>
    <x v="7"/>
    <n v="3"/>
    <s v="Yes"/>
  </r>
  <r>
    <n v="549"/>
    <x v="548"/>
    <d v="2025-07-02T00:00:00"/>
    <x v="6"/>
    <s v="Ravi Singh"/>
    <n v="28"/>
    <x v="2"/>
    <x v="1"/>
    <x v="1"/>
    <x v="1"/>
    <x v="1"/>
    <x v="21"/>
    <n v="3"/>
    <n v="46371"/>
    <x v="547"/>
    <x v="2"/>
    <x v="5"/>
    <n v="1"/>
    <s v="Yes"/>
  </r>
  <r>
    <n v="550"/>
    <x v="549"/>
    <d v="2025-07-03T00:00:00"/>
    <x v="6"/>
    <s v="Sanya Verma"/>
    <n v="58"/>
    <x v="0"/>
    <x v="1"/>
    <x v="2"/>
    <x v="3"/>
    <x v="2"/>
    <x v="6"/>
    <n v="2"/>
    <n v="18337"/>
    <x v="548"/>
    <x v="3"/>
    <x v="3"/>
    <n v="1"/>
    <s v="Yes"/>
  </r>
  <r>
    <n v="551"/>
    <x v="550"/>
    <d v="2025-07-04T00:00:00"/>
    <x v="6"/>
    <s v="Sneha Verma"/>
    <n v="48"/>
    <x v="1"/>
    <x v="1"/>
    <x v="2"/>
    <x v="3"/>
    <x v="1"/>
    <x v="1"/>
    <n v="3"/>
    <n v="38853"/>
    <x v="549"/>
    <x v="1"/>
    <x v="9"/>
    <n v="2"/>
    <s v="Yes"/>
  </r>
  <r>
    <n v="552"/>
    <x v="551"/>
    <d v="2025-07-05T00:00:00"/>
    <x v="6"/>
    <s v="Pooja Kapoor"/>
    <n v="54"/>
    <x v="0"/>
    <x v="0"/>
    <x v="1"/>
    <x v="3"/>
    <x v="2"/>
    <x v="14"/>
    <n v="2"/>
    <n v="46026"/>
    <x v="550"/>
    <x v="1"/>
    <x v="3"/>
    <n v="4"/>
    <s v="Yes"/>
  </r>
  <r>
    <n v="553"/>
    <x v="552"/>
    <d v="2025-07-06T00:00:00"/>
    <x v="6"/>
    <s v="Aditya Singh"/>
    <n v="49"/>
    <x v="1"/>
    <x v="0"/>
    <x v="5"/>
    <x v="1"/>
    <x v="2"/>
    <x v="18"/>
    <n v="9"/>
    <n v="26636"/>
    <x v="551"/>
    <x v="4"/>
    <x v="5"/>
    <n v="5"/>
    <s v="Yes"/>
  </r>
  <r>
    <n v="554"/>
    <x v="553"/>
    <d v="2025-07-07T00:00:00"/>
    <x v="6"/>
    <s v="Arjun Verma"/>
    <n v="53"/>
    <x v="0"/>
    <x v="0"/>
    <x v="7"/>
    <x v="1"/>
    <x v="0"/>
    <x v="17"/>
    <n v="5"/>
    <n v="27782"/>
    <x v="552"/>
    <x v="3"/>
    <x v="5"/>
    <n v="3"/>
    <s v="Yes"/>
  </r>
  <r>
    <n v="555"/>
    <x v="554"/>
    <d v="2025-07-08T00:00:00"/>
    <x v="6"/>
    <s v="Rohan Mehta"/>
    <n v="30"/>
    <x v="1"/>
    <x v="1"/>
    <x v="1"/>
    <x v="1"/>
    <x v="3"/>
    <x v="12"/>
    <n v="5"/>
    <n v="37511"/>
    <x v="553"/>
    <x v="3"/>
    <x v="9"/>
    <n v="4"/>
    <s v="Yes"/>
  </r>
  <r>
    <n v="556"/>
    <x v="555"/>
    <d v="2025-07-09T00:00:00"/>
    <x v="6"/>
    <s v="Aarav Das"/>
    <n v="36"/>
    <x v="1"/>
    <x v="1"/>
    <x v="3"/>
    <x v="1"/>
    <x v="4"/>
    <x v="15"/>
    <n v="6"/>
    <n v="1019"/>
    <x v="554"/>
    <x v="2"/>
    <x v="5"/>
    <n v="3"/>
    <s v="No"/>
  </r>
  <r>
    <n v="557"/>
    <x v="556"/>
    <d v="2025-07-10T00:00:00"/>
    <x v="6"/>
    <s v="Arjun Chopra"/>
    <n v="23"/>
    <x v="2"/>
    <x v="1"/>
    <x v="4"/>
    <x v="0"/>
    <x v="0"/>
    <x v="23"/>
    <n v="7"/>
    <n v="34858"/>
    <x v="555"/>
    <x v="4"/>
    <x v="7"/>
    <n v="1"/>
    <s v="Yes"/>
  </r>
  <r>
    <n v="558"/>
    <x v="557"/>
    <d v="2025-07-11T00:00:00"/>
    <x v="6"/>
    <s v="Manish Kapoor"/>
    <n v="36"/>
    <x v="1"/>
    <x v="0"/>
    <x v="9"/>
    <x v="2"/>
    <x v="2"/>
    <x v="6"/>
    <n v="4"/>
    <n v="13885"/>
    <x v="556"/>
    <x v="2"/>
    <x v="9"/>
    <n v="1"/>
    <s v="Yes"/>
  </r>
  <r>
    <n v="559"/>
    <x v="558"/>
    <d v="2025-07-12T00:00:00"/>
    <x v="6"/>
    <s v="Vikram Nair"/>
    <n v="60"/>
    <x v="0"/>
    <x v="0"/>
    <x v="2"/>
    <x v="1"/>
    <x v="1"/>
    <x v="20"/>
    <n v="2"/>
    <n v="22978"/>
    <x v="557"/>
    <x v="0"/>
    <x v="4"/>
    <n v="4"/>
    <s v="No"/>
  </r>
  <r>
    <n v="560"/>
    <x v="559"/>
    <d v="2025-07-13T00:00:00"/>
    <x v="6"/>
    <s v="Tanvi Chopra"/>
    <n v="30"/>
    <x v="1"/>
    <x v="1"/>
    <x v="3"/>
    <x v="0"/>
    <x v="2"/>
    <x v="14"/>
    <n v="9"/>
    <n v="38099"/>
    <x v="558"/>
    <x v="2"/>
    <x v="0"/>
    <n v="2"/>
    <s v="Yes"/>
  </r>
  <r>
    <n v="561"/>
    <x v="560"/>
    <d v="2025-07-14T00:00:00"/>
    <x v="6"/>
    <s v="Pooja Bose"/>
    <n v="54"/>
    <x v="0"/>
    <x v="0"/>
    <x v="4"/>
    <x v="0"/>
    <x v="1"/>
    <x v="20"/>
    <n v="3"/>
    <n v="32152"/>
    <x v="559"/>
    <x v="4"/>
    <x v="3"/>
    <n v="3"/>
    <s v="No"/>
  </r>
  <r>
    <n v="562"/>
    <x v="561"/>
    <d v="2025-07-15T00:00:00"/>
    <x v="6"/>
    <s v="Raj Sen"/>
    <n v="28"/>
    <x v="2"/>
    <x v="1"/>
    <x v="7"/>
    <x v="0"/>
    <x v="0"/>
    <x v="23"/>
    <n v="7"/>
    <n v="41716"/>
    <x v="560"/>
    <x v="0"/>
    <x v="2"/>
    <n v="4"/>
    <s v="No"/>
  </r>
  <r>
    <n v="563"/>
    <x v="562"/>
    <d v="2025-07-16T00:00:00"/>
    <x v="6"/>
    <s v="Arjun Singh"/>
    <n v="38"/>
    <x v="1"/>
    <x v="1"/>
    <x v="3"/>
    <x v="0"/>
    <x v="3"/>
    <x v="22"/>
    <n v="10"/>
    <n v="4344"/>
    <x v="561"/>
    <x v="2"/>
    <x v="1"/>
    <n v="1"/>
    <s v="No"/>
  </r>
  <r>
    <n v="564"/>
    <x v="563"/>
    <d v="2025-07-17T00:00:00"/>
    <x v="6"/>
    <s v="Tanvi Sharma"/>
    <n v="33"/>
    <x v="1"/>
    <x v="0"/>
    <x v="5"/>
    <x v="2"/>
    <x v="3"/>
    <x v="22"/>
    <n v="4"/>
    <n v="19282"/>
    <x v="562"/>
    <x v="0"/>
    <x v="2"/>
    <n v="3"/>
    <s v="No"/>
  </r>
  <r>
    <n v="565"/>
    <x v="564"/>
    <d v="2025-07-18T00:00:00"/>
    <x v="6"/>
    <s v="Kavya Bhatia"/>
    <n v="38"/>
    <x v="1"/>
    <x v="0"/>
    <x v="8"/>
    <x v="0"/>
    <x v="4"/>
    <x v="7"/>
    <n v="10"/>
    <n v="59"/>
    <x v="563"/>
    <x v="0"/>
    <x v="6"/>
    <n v="2"/>
    <s v="No"/>
  </r>
  <r>
    <n v="566"/>
    <x v="565"/>
    <d v="2025-07-19T00:00:00"/>
    <x v="6"/>
    <s v="Kunal Sharma"/>
    <n v="53"/>
    <x v="0"/>
    <x v="0"/>
    <x v="0"/>
    <x v="0"/>
    <x v="1"/>
    <x v="20"/>
    <n v="1"/>
    <n v="49077"/>
    <x v="564"/>
    <x v="4"/>
    <x v="9"/>
    <n v="1"/>
    <s v="Yes"/>
  </r>
  <r>
    <n v="567"/>
    <x v="566"/>
    <d v="2025-07-20T00:00:00"/>
    <x v="6"/>
    <s v="Vikram Nair"/>
    <n v="55"/>
    <x v="0"/>
    <x v="1"/>
    <x v="4"/>
    <x v="3"/>
    <x v="4"/>
    <x v="15"/>
    <n v="3"/>
    <n v="1512"/>
    <x v="565"/>
    <x v="0"/>
    <x v="5"/>
    <n v="2"/>
    <s v="Yes"/>
  </r>
  <r>
    <n v="568"/>
    <x v="567"/>
    <d v="2025-07-21T00:00:00"/>
    <x v="6"/>
    <s v="Ravi Sharma"/>
    <n v="28"/>
    <x v="2"/>
    <x v="0"/>
    <x v="2"/>
    <x v="2"/>
    <x v="2"/>
    <x v="2"/>
    <n v="6"/>
    <n v="37671"/>
    <x v="566"/>
    <x v="1"/>
    <x v="1"/>
    <n v="5"/>
    <s v="Yes"/>
  </r>
  <r>
    <n v="569"/>
    <x v="568"/>
    <d v="2025-07-22T00:00:00"/>
    <x v="6"/>
    <s v="Pooja Reddy"/>
    <n v="41"/>
    <x v="1"/>
    <x v="1"/>
    <x v="1"/>
    <x v="2"/>
    <x v="2"/>
    <x v="2"/>
    <n v="3"/>
    <n v="8771"/>
    <x v="567"/>
    <x v="4"/>
    <x v="7"/>
    <n v="5"/>
    <s v="No"/>
  </r>
  <r>
    <n v="570"/>
    <x v="569"/>
    <d v="2025-07-23T00:00:00"/>
    <x v="6"/>
    <s v="Aarav Jain"/>
    <n v="42"/>
    <x v="1"/>
    <x v="0"/>
    <x v="3"/>
    <x v="0"/>
    <x v="4"/>
    <x v="10"/>
    <n v="5"/>
    <n v="1763"/>
    <x v="568"/>
    <x v="3"/>
    <x v="2"/>
    <n v="3"/>
    <s v="Yes"/>
  </r>
  <r>
    <n v="571"/>
    <x v="570"/>
    <d v="2025-07-24T00:00:00"/>
    <x v="6"/>
    <s v="Vikram Das"/>
    <n v="18"/>
    <x v="2"/>
    <x v="0"/>
    <x v="9"/>
    <x v="0"/>
    <x v="2"/>
    <x v="9"/>
    <n v="4"/>
    <n v="33353"/>
    <x v="569"/>
    <x v="1"/>
    <x v="4"/>
    <n v="3"/>
    <s v="Yes"/>
  </r>
  <r>
    <n v="572"/>
    <x v="571"/>
    <d v="2025-07-25T00:00:00"/>
    <x v="6"/>
    <s v="Rohan Kapoor"/>
    <n v="54"/>
    <x v="0"/>
    <x v="0"/>
    <x v="9"/>
    <x v="2"/>
    <x v="1"/>
    <x v="20"/>
    <n v="2"/>
    <n v="26744"/>
    <x v="570"/>
    <x v="3"/>
    <x v="3"/>
    <n v="2"/>
    <s v="No"/>
  </r>
  <r>
    <n v="573"/>
    <x v="572"/>
    <d v="2025-07-26T00:00:00"/>
    <x v="6"/>
    <s v="Raj Sen"/>
    <n v="47"/>
    <x v="1"/>
    <x v="0"/>
    <x v="1"/>
    <x v="2"/>
    <x v="3"/>
    <x v="22"/>
    <n v="1"/>
    <n v="33722"/>
    <x v="571"/>
    <x v="1"/>
    <x v="5"/>
    <n v="5"/>
    <s v="No"/>
  </r>
  <r>
    <n v="574"/>
    <x v="573"/>
    <d v="2025-07-27T00:00:00"/>
    <x v="6"/>
    <s v="Arjun Iyer"/>
    <n v="54"/>
    <x v="0"/>
    <x v="1"/>
    <x v="3"/>
    <x v="0"/>
    <x v="0"/>
    <x v="13"/>
    <n v="5"/>
    <n v="41362"/>
    <x v="572"/>
    <x v="2"/>
    <x v="6"/>
    <n v="1"/>
    <s v="Yes"/>
  </r>
  <r>
    <n v="575"/>
    <x v="574"/>
    <d v="2025-07-28T00:00:00"/>
    <x v="6"/>
    <s v="Pooja Das"/>
    <n v="60"/>
    <x v="0"/>
    <x v="0"/>
    <x v="9"/>
    <x v="3"/>
    <x v="2"/>
    <x v="2"/>
    <n v="4"/>
    <n v="27141"/>
    <x v="573"/>
    <x v="1"/>
    <x v="9"/>
    <n v="4"/>
    <s v="Yes"/>
  </r>
  <r>
    <n v="576"/>
    <x v="575"/>
    <d v="2025-07-29T00:00:00"/>
    <x v="6"/>
    <s v="Sanya Verma"/>
    <n v="24"/>
    <x v="2"/>
    <x v="1"/>
    <x v="0"/>
    <x v="3"/>
    <x v="0"/>
    <x v="17"/>
    <n v="2"/>
    <n v="32590"/>
    <x v="574"/>
    <x v="1"/>
    <x v="7"/>
    <n v="4"/>
    <s v="Yes"/>
  </r>
  <r>
    <n v="577"/>
    <x v="576"/>
    <d v="2025-07-30T00:00:00"/>
    <x v="6"/>
    <s v="Manish Malhotra"/>
    <n v="60"/>
    <x v="0"/>
    <x v="0"/>
    <x v="3"/>
    <x v="0"/>
    <x v="1"/>
    <x v="21"/>
    <n v="8"/>
    <n v="39904"/>
    <x v="575"/>
    <x v="4"/>
    <x v="9"/>
    <n v="5"/>
    <s v="No"/>
  </r>
  <r>
    <n v="578"/>
    <x v="577"/>
    <d v="2025-07-31T00:00:00"/>
    <x v="6"/>
    <s v="Kavya Sharma"/>
    <n v="34"/>
    <x v="1"/>
    <x v="0"/>
    <x v="4"/>
    <x v="1"/>
    <x v="1"/>
    <x v="20"/>
    <n v="6"/>
    <n v="25046"/>
    <x v="576"/>
    <x v="1"/>
    <x v="2"/>
    <n v="3"/>
    <s v="Yes"/>
  </r>
  <r>
    <n v="579"/>
    <x v="578"/>
    <d v="2025-08-01T00:00:00"/>
    <x v="7"/>
    <s v="Sneha Chopra"/>
    <n v="50"/>
    <x v="0"/>
    <x v="0"/>
    <x v="6"/>
    <x v="1"/>
    <x v="3"/>
    <x v="16"/>
    <n v="5"/>
    <n v="3619"/>
    <x v="577"/>
    <x v="0"/>
    <x v="3"/>
    <n v="5"/>
    <s v="Yes"/>
  </r>
  <r>
    <n v="580"/>
    <x v="579"/>
    <d v="2025-08-02T00:00:00"/>
    <x v="7"/>
    <s v="Priya Mehta"/>
    <n v="21"/>
    <x v="2"/>
    <x v="1"/>
    <x v="7"/>
    <x v="1"/>
    <x v="3"/>
    <x v="22"/>
    <n v="7"/>
    <n v="34923"/>
    <x v="578"/>
    <x v="1"/>
    <x v="2"/>
    <n v="1"/>
    <s v="Yes"/>
  </r>
  <r>
    <n v="581"/>
    <x v="580"/>
    <d v="2025-08-03T00:00:00"/>
    <x v="7"/>
    <s v="Kavya Singh"/>
    <n v="36"/>
    <x v="1"/>
    <x v="1"/>
    <x v="1"/>
    <x v="1"/>
    <x v="1"/>
    <x v="21"/>
    <n v="2"/>
    <n v="47559"/>
    <x v="579"/>
    <x v="2"/>
    <x v="0"/>
    <n v="2"/>
    <s v="Yes"/>
  </r>
  <r>
    <n v="582"/>
    <x v="581"/>
    <d v="2025-08-04T00:00:00"/>
    <x v="7"/>
    <s v="Pooja Agarwal"/>
    <n v="30"/>
    <x v="1"/>
    <x v="0"/>
    <x v="6"/>
    <x v="3"/>
    <x v="3"/>
    <x v="22"/>
    <n v="1"/>
    <n v="4653"/>
    <x v="580"/>
    <x v="3"/>
    <x v="2"/>
    <n v="1"/>
    <s v="Yes"/>
  </r>
  <r>
    <n v="583"/>
    <x v="582"/>
    <d v="2025-08-05T00:00:00"/>
    <x v="7"/>
    <s v="Manish Chopra"/>
    <n v="29"/>
    <x v="2"/>
    <x v="0"/>
    <x v="7"/>
    <x v="0"/>
    <x v="2"/>
    <x v="6"/>
    <n v="6"/>
    <n v="34994"/>
    <x v="581"/>
    <x v="3"/>
    <x v="6"/>
    <n v="4"/>
    <s v="No"/>
  </r>
  <r>
    <n v="584"/>
    <x v="583"/>
    <d v="2025-08-06T00:00:00"/>
    <x v="7"/>
    <s v="Aarav Das"/>
    <n v="58"/>
    <x v="0"/>
    <x v="0"/>
    <x v="3"/>
    <x v="3"/>
    <x v="1"/>
    <x v="1"/>
    <n v="7"/>
    <n v="2675"/>
    <x v="582"/>
    <x v="3"/>
    <x v="6"/>
    <n v="1"/>
    <s v="Yes"/>
  </r>
  <r>
    <n v="585"/>
    <x v="584"/>
    <d v="2025-08-07T00:00:00"/>
    <x v="7"/>
    <s v="Aarav Ghosh"/>
    <n v="21"/>
    <x v="2"/>
    <x v="0"/>
    <x v="8"/>
    <x v="0"/>
    <x v="2"/>
    <x v="2"/>
    <n v="4"/>
    <n v="13265"/>
    <x v="583"/>
    <x v="3"/>
    <x v="9"/>
    <n v="2"/>
    <s v="Yes"/>
  </r>
  <r>
    <n v="586"/>
    <x v="585"/>
    <d v="2025-08-08T00:00:00"/>
    <x v="7"/>
    <s v="Meera Kapoor"/>
    <n v="46"/>
    <x v="1"/>
    <x v="1"/>
    <x v="0"/>
    <x v="0"/>
    <x v="0"/>
    <x v="17"/>
    <n v="1"/>
    <n v="39795"/>
    <x v="584"/>
    <x v="4"/>
    <x v="5"/>
    <n v="2"/>
    <s v="Yes"/>
  </r>
  <r>
    <n v="587"/>
    <x v="586"/>
    <d v="2025-08-09T00:00:00"/>
    <x v="7"/>
    <s v="Tanvi Sen"/>
    <n v="39"/>
    <x v="1"/>
    <x v="1"/>
    <x v="6"/>
    <x v="2"/>
    <x v="2"/>
    <x v="18"/>
    <n v="7"/>
    <n v="11945"/>
    <x v="585"/>
    <x v="4"/>
    <x v="8"/>
    <n v="1"/>
    <s v="Yes"/>
  </r>
  <r>
    <n v="588"/>
    <x v="587"/>
    <d v="2025-08-10T00:00:00"/>
    <x v="7"/>
    <s v="Aditya Kapoor"/>
    <n v="26"/>
    <x v="2"/>
    <x v="0"/>
    <x v="2"/>
    <x v="0"/>
    <x v="0"/>
    <x v="23"/>
    <n v="8"/>
    <n v="30293"/>
    <x v="586"/>
    <x v="4"/>
    <x v="9"/>
    <n v="4"/>
    <s v="Yes"/>
  </r>
  <r>
    <n v="589"/>
    <x v="588"/>
    <d v="2025-08-11T00:00:00"/>
    <x v="7"/>
    <s v="Tanvi Reddy"/>
    <n v="50"/>
    <x v="0"/>
    <x v="1"/>
    <x v="7"/>
    <x v="1"/>
    <x v="3"/>
    <x v="22"/>
    <n v="9"/>
    <n v="19967"/>
    <x v="587"/>
    <x v="0"/>
    <x v="1"/>
    <n v="1"/>
    <s v="No"/>
  </r>
  <r>
    <n v="590"/>
    <x v="589"/>
    <d v="2025-08-12T00:00:00"/>
    <x v="7"/>
    <s v="Aarav Reddy"/>
    <n v="39"/>
    <x v="1"/>
    <x v="1"/>
    <x v="3"/>
    <x v="3"/>
    <x v="2"/>
    <x v="9"/>
    <n v="8"/>
    <n v="17601"/>
    <x v="588"/>
    <x v="2"/>
    <x v="9"/>
    <n v="2"/>
    <s v="Yes"/>
  </r>
  <r>
    <n v="591"/>
    <x v="590"/>
    <d v="2025-08-13T00:00:00"/>
    <x v="7"/>
    <s v="Vikram Reddy"/>
    <n v="31"/>
    <x v="1"/>
    <x v="0"/>
    <x v="6"/>
    <x v="1"/>
    <x v="1"/>
    <x v="1"/>
    <n v="4"/>
    <n v="48397"/>
    <x v="589"/>
    <x v="4"/>
    <x v="6"/>
    <n v="2"/>
    <s v="Yes"/>
  </r>
  <r>
    <n v="592"/>
    <x v="591"/>
    <d v="2025-08-14T00:00:00"/>
    <x v="7"/>
    <s v="Arjun Gupta"/>
    <n v="38"/>
    <x v="1"/>
    <x v="1"/>
    <x v="5"/>
    <x v="0"/>
    <x v="4"/>
    <x v="4"/>
    <n v="5"/>
    <n v="456"/>
    <x v="590"/>
    <x v="1"/>
    <x v="1"/>
    <n v="2"/>
    <s v="Yes"/>
  </r>
  <r>
    <n v="593"/>
    <x v="592"/>
    <d v="2025-08-15T00:00:00"/>
    <x v="7"/>
    <s v="Aditya Bose"/>
    <n v="22"/>
    <x v="2"/>
    <x v="0"/>
    <x v="1"/>
    <x v="2"/>
    <x v="3"/>
    <x v="3"/>
    <n v="9"/>
    <n v="26072"/>
    <x v="591"/>
    <x v="1"/>
    <x v="9"/>
    <n v="4"/>
    <s v="No"/>
  </r>
  <r>
    <n v="594"/>
    <x v="593"/>
    <d v="2025-08-16T00:00:00"/>
    <x v="7"/>
    <s v="Aarav Patel"/>
    <n v="46"/>
    <x v="1"/>
    <x v="0"/>
    <x v="5"/>
    <x v="0"/>
    <x v="4"/>
    <x v="4"/>
    <n v="8"/>
    <n v="426"/>
    <x v="592"/>
    <x v="4"/>
    <x v="5"/>
    <n v="3"/>
    <s v="No"/>
  </r>
  <r>
    <n v="595"/>
    <x v="594"/>
    <d v="2025-08-17T00:00:00"/>
    <x v="7"/>
    <s v="Aarav Kapoor"/>
    <n v="22"/>
    <x v="2"/>
    <x v="1"/>
    <x v="6"/>
    <x v="2"/>
    <x v="1"/>
    <x v="21"/>
    <n v="6"/>
    <n v="20028"/>
    <x v="593"/>
    <x v="2"/>
    <x v="0"/>
    <n v="2"/>
    <s v="No"/>
  </r>
  <r>
    <n v="596"/>
    <x v="595"/>
    <d v="2025-08-18T00:00:00"/>
    <x v="7"/>
    <s v="Vikram Nair"/>
    <n v="18"/>
    <x v="2"/>
    <x v="0"/>
    <x v="3"/>
    <x v="1"/>
    <x v="1"/>
    <x v="20"/>
    <n v="6"/>
    <n v="19988"/>
    <x v="594"/>
    <x v="2"/>
    <x v="9"/>
    <n v="1"/>
    <s v="No"/>
  </r>
  <r>
    <n v="597"/>
    <x v="596"/>
    <d v="2025-08-19T00:00:00"/>
    <x v="7"/>
    <s v="Vikram Iyer"/>
    <n v="43"/>
    <x v="1"/>
    <x v="0"/>
    <x v="0"/>
    <x v="2"/>
    <x v="3"/>
    <x v="16"/>
    <n v="6"/>
    <n v="24845"/>
    <x v="595"/>
    <x v="1"/>
    <x v="2"/>
    <n v="3"/>
    <s v="Yes"/>
  </r>
  <r>
    <n v="598"/>
    <x v="597"/>
    <d v="2025-08-20T00:00:00"/>
    <x v="7"/>
    <s v="Ananya Sharma"/>
    <n v="50"/>
    <x v="0"/>
    <x v="0"/>
    <x v="3"/>
    <x v="1"/>
    <x v="1"/>
    <x v="19"/>
    <n v="9"/>
    <n v="30351"/>
    <x v="596"/>
    <x v="1"/>
    <x v="1"/>
    <n v="1"/>
    <s v="Yes"/>
  </r>
  <r>
    <n v="599"/>
    <x v="598"/>
    <d v="2025-08-21T00:00:00"/>
    <x v="7"/>
    <s v="Ravi Verma"/>
    <n v="18"/>
    <x v="2"/>
    <x v="1"/>
    <x v="0"/>
    <x v="0"/>
    <x v="3"/>
    <x v="22"/>
    <n v="2"/>
    <n v="14032"/>
    <x v="597"/>
    <x v="2"/>
    <x v="1"/>
    <n v="4"/>
    <s v="No"/>
  </r>
  <r>
    <n v="600"/>
    <x v="599"/>
    <d v="2025-08-22T00:00:00"/>
    <x v="7"/>
    <s v="Neha Patel"/>
    <n v="45"/>
    <x v="1"/>
    <x v="1"/>
    <x v="0"/>
    <x v="0"/>
    <x v="4"/>
    <x v="10"/>
    <n v="5"/>
    <n v="1981"/>
    <x v="598"/>
    <x v="1"/>
    <x v="2"/>
    <n v="2"/>
    <s v="No"/>
  </r>
  <r>
    <n v="601"/>
    <x v="600"/>
    <d v="2025-08-23T00:00:00"/>
    <x v="7"/>
    <s v="Sanya Iyer"/>
    <n v="40"/>
    <x v="1"/>
    <x v="1"/>
    <x v="9"/>
    <x v="3"/>
    <x v="3"/>
    <x v="24"/>
    <n v="7"/>
    <n v="32001"/>
    <x v="599"/>
    <x v="4"/>
    <x v="5"/>
    <n v="4"/>
    <s v="Yes"/>
  </r>
  <r>
    <n v="602"/>
    <x v="601"/>
    <d v="2025-08-24T00:00:00"/>
    <x v="7"/>
    <s v="Tanvi Sen"/>
    <n v="39"/>
    <x v="1"/>
    <x v="1"/>
    <x v="4"/>
    <x v="3"/>
    <x v="4"/>
    <x v="4"/>
    <n v="3"/>
    <n v="1607"/>
    <x v="600"/>
    <x v="1"/>
    <x v="5"/>
    <n v="5"/>
    <s v="Yes"/>
  </r>
  <r>
    <n v="603"/>
    <x v="602"/>
    <d v="2025-08-25T00:00:00"/>
    <x v="7"/>
    <s v="Ishita Gupta"/>
    <n v="21"/>
    <x v="2"/>
    <x v="1"/>
    <x v="4"/>
    <x v="3"/>
    <x v="1"/>
    <x v="1"/>
    <n v="10"/>
    <n v="10737"/>
    <x v="601"/>
    <x v="2"/>
    <x v="6"/>
    <n v="2"/>
    <s v="Yes"/>
  </r>
  <r>
    <n v="604"/>
    <x v="603"/>
    <d v="2025-08-26T00:00:00"/>
    <x v="7"/>
    <s v="Raj Bhatia"/>
    <n v="34"/>
    <x v="1"/>
    <x v="0"/>
    <x v="4"/>
    <x v="1"/>
    <x v="3"/>
    <x v="3"/>
    <n v="5"/>
    <n v="3180"/>
    <x v="602"/>
    <x v="4"/>
    <x v="5"/>
    <n v="5"/>
    <s v="Yes"/>
  </r>
  <r>
    <n v="605"/>
    <x v="604"/>
    <d v="2025-08-27T00:00:00"/>
    <x v="7"/>
    <s v="Arjun Jain"/>
    <n v="60"/>
    <x v="0"/>
    <x v="1"/>
    <x v="4"/>
    <x v="1"/>
    <x v="4"/>
    <x v="5"/>
    <n v="4"/>
    <n v="357"/>
    <x v="603"/>
    <x v="1"/>
    <x v="9"/>
    <n v="1"/>
    <s v="Yes"/>
  </r>
  <r>
    <n v="606"/>
    <x v="605"/>
    <d v="2025-08-28T00:00:00"/>
    <x v="7"/>
    <s v="Kavya Nair"/>
    <n v="43"/>
    <x v="1"/>
    <x v="1"/>
    <x v="3"/>
    <x v="2"/>
    <x v="3"/>
    <x v="16"/>
    <n v="4"/>
    <n v="23164"/>
    <x v="604"/>
    <x v="3"/>
    <x v="7"/>
    <n v="3"/>
    <s v="Yes"/>
  </r>
  <r>
    <n v="607"/>
    <x v="606"/>
    <d v="2025-08-29T00:00:00"/>
    <x v="7"/>
    <s v="Sanya Bose"/>
    <n v="44"/>
    <x v="1"/>
    <x v="0"/>
    <x v="8"/>
    <x v="0"/>
    <x v="4"/>
    <x v="4"/>
    <n v="2"/>
    <n v="630"/>
    <x v="605"/>
    <x v="2"/>
    <x v="8"/>
    <n v="5"/>
    <s v="No"/>
  </r>
  <r>
    <n v="608"/>
    <x v="607"/>
    <d v="2025-08-30T00:00:00"/>
    <x v="7"/>
    <s v="Pooja Kapoor"/>
    <n v="53"/>
    <x v="0"/>
    <x v="0"/>
    <x v="7"/>
    <x v="1"/>
    <x v="2"/>
    <x v="6"/>
    <n v="6"/>
    <n v="47674"/>
    <x v="606"/>
    <x v="4"/>
    <x v="6"/>
    <n v="1"/>
    <s v="No"/>
  </r>
  <r>
    <n v="609"/>
    <x v="608"/>
    <d v="2025-08-31T00:00:00"/>
    <x v="7"/>
    <s v="Rohan Jain"/>
    <n v="18"/>
    <x v="2"/>
    <x v="1"/>
    <x v="2"/>
    <x v="3"/>
    <x v="1"/>
    <x v="21"/>
    <n v="3"/>
    <n v="13710"/>
    <x v="607"/>
    <x v="4"/>
    <x v="6"/>
    <n v="5"/>
    <s v="No"/>
  </r>
  <r>
    <n v="610"/>
    <x v="609"/>
    <d v="2025-09-01T00:00:00"/>
    <x v="8"/>
    <s v="Divya Patel"/>
    <n v="25"/>
    <x v="2"/>
    <x v="0"/>
    <x v="1"/>
    <x v="3"/>
    <x v="1"/>
    <x v="11"/>
    <n v="6"/>
    <n v="44325"/>
    <x v="608"/>
    <x v="3"/>
    <x v="7"/>
    <n v="4"/>
    <s v="Yes"/>
  </r>
  <r>
    <n v="611"/>
    <x v="610"/>
    <d v="2025-09-02T00:00:00"/>
    <x v="8"/>
    <s v="Kavya Patel"/>
    <n v="25"/>
    <x v="2"/>
    <x v="0"/>
    <x v="9"/>
    <x v="1"/>
    <x v="0"/>
    <x v="13"/>
    <n v="1"/>
    <n v="49346"/>
    <x v="609"/>
    <x v="4"/>
    <x v="7"/>
    <n v="3"/>
    <s v="No"/>
  </r>
  <r>
    <n v="612"/>
    <x v="611"/>
    <d v="2025-09-03T00:00:00"/>
    <x v="8"/>
    <s v="Ravi Kapoor"/>
    <n v="56"/>
    <x v="0"/>
    <x v="0"/>
    <x v="4"/>
    <x v="3"/>
    <x v="4"/>
    <x v="10"/>
    <n v="4"/>
    <n v="1977"/>
    <x v="610"/>
    <x v="1"/>
    <x v="2"/>
    <n v="4"/>
    <s v="Yes"/>
  </r>
  <r>
    <n v="613"/>
    <x v="612"/>
    <d v="2025-09-04T00:00:00"/>
    <x v="8"/>
    <s v="Kavya Mehta"/>
    <n v="36"/>
    <x v="1"/>
    <x v="1"/>
    <x v="8"/>
    <x v="0"/>
    <x v="3"/>
    <x v="16"/>
    <n v="1"/>
    <n v="28663"/>
    <x v="611"/>
    <x v="3"/>
    <x v="8"/>
    <n v="5"/>
    <s v="Yes"/>
  </r>
  <r>
    <n v="614"/>
    <x v="613"/>
    <d v="2025-09-05T00:00:00"/>
    <x v="8"/>
    <s v="Sneha Roy"/>
    <n v="29"/>
    <x v="2"/>
    <x v="0"/>
    <x v="7"/>
    <x v="0"/>
    <x v="4"/>
    <x v="7"/>
    <n v="8"/>
    <n v="329"/>
    <x v="612"/>
    <x v="4"/>
    <x v="2"/>
    <n v="5"/>
    <s v="No"/>
  </r>
  <r>
    <n v="615"/>
    <x v="614"/>
    <d v="2025-09-06T00:00:00"/>
    <x v="8"/>
    <s v="Neha Roy"/>
    <n v="35"/>
    <x v="1"/>
    <x v="1"/>
    <x v="5"/>
    <x v="1"/>
    <x v="3"/>
    <x v="12"/>
    <n v="6"/>
    <n v="30245"/>
    <x v="613"/>
    <x v="3"/>
    <x v="9"/>
    <n v="1"/>
    <s v="Yes"/>
  </r>
  <r>
    <n v="616"/>
    <x v="615"/>
    <d v="2025-09-07T00:00:00"/>
    <x v="8"/>
    <s v="Kunal Ghosh"/>
    <n v="40"/>
    <x v="1"/>
    <x v="1"/>
    <x v="4"/>
    <x v="1"/>
    <x v="0"/>
    <x v="23"/>
    <n v="2"/>
    <n v="33304"/>
    <x v="614"/>
    <x v="4"/>
    <x v="2"/>
    <n v="5"/>
    <s v="No"/>
  </r>
  <r>
    <n v="617"/>
    <x v="616"/>
    <d v="2025-09-08T00:00:00"/>
    <x v="8"/>
    <s v="Vikram Bhatia"/>
    <n v="56"/>
    <x v="0"/>
    <x v="1"/>
    <x v="4"/>
    <x v="2"/>
    <x v="0"/>
    <x v="8"/>
    <n v="6"/>
    <n v="25504"/>
    <x v="615"/>
    <x v="1"/>
    <x v="1"/>
    <n v="3"/>
    <s v="No"/>
  </r>
  <r>
    <n v="618"/>
    <x v="617"/>
    <d v="2025-09-09T00:00:00"/>
    <x v="8"/>
    <s v="Rohan Sen"/>
    <n v="21"/>
    <x v="2"/>
    <x v="1"/>
    <x v="8"/>
    <x v="1"/>
    <x v="2"/>
    <x v="14"/>
    <n v="10"/>
    <n v="36169"/>
    <x v="616"/>
    <x v="4"/>
    <x v="7"/>
    <n v="5"/>
    <s v="Yes"/>
  </r>
  <r>
    <n v="619"/>
    <x v="618"/>
    <d v="2025-09-10T00:00:00"/>
    <x v="8"/>
    <s v="Arjun Singh"/>
    <n v="43"/>
    <x v="1"/>
    <x v="0"/>
    <x v="3"/>
    <x v="2"/>
    <x v="4"/>
    <x v="15"/>
    <n v="2"/>
    <n v="887"/>
    <x v="617"/>
    <x v="3"/>
    <x v="0"/>
    <n v="4"/>
    <s v="Yes"/>
  </r>
  <r>
    <n v="620"/>
    <x v="619"/>
    <d v="2025-09-11T00:00:00"/>
    <x v="8"/>
    <s v="Aarav Singh"/>
    <n v="22"/>
    <x v="2"/>
    <x v="0"/>
    <x v="2"/>
    <x v="1"/>
    <x v="1"/>
    <x v="21"/>
    <n v="6"/>
    <n v="41720"/>
    <x v="618"/>
    <x v="0"/>
    <x v="4"/>
    <n v="2"/>
    <s v="No"/>
  </r>
  <r>
    <n v="621"/>
    <x v="620"/>
    <d v="2025-09-12T00:00:00"/>
    <x v="8"/>
    <s v="Pooja Mehta"/>
    <n v="25"/>
    <x v="2"/>
    <x v="1"/>
    <x v="5"/>
    <x v="3"/>
    <x v="0"/>
    <x v="23"/>
    <n v="9"/>
    <n v="11164"/>
    <x v="619"/>
    <x v="4"/>
    <x v="0"/>
    <n v="1"/>
    <s v="No"/>
  </r>
  <r>
    <n v="622"/>
    <x v="621"/>
    <d v="2025-09-13T00:00:00"/>
    <x v="8"/>
    <s v="Ishita Gupta"/>
    <n v="53"/>
    <x v="0"/>
    <x v="1"/>
    <x v="2"/>
    <x v="3"/>
    <x v="1"/>
    <x v="19"/>
    <n v="7"/>
    <n v="18786"/>
    <x v="620"/>
    <x v="0"/>
    <x v="9"/>
    <n v="3"/>
    <s v="No"/>
  </r>
  <r>
    <n v="623"/>
    <x v="622"/>
    <d v="2025-09-14T00:00:00"/>
    <x v="8"/>
    <s v="Meera Ghosh"/>
    <n v="25"/>
    <x v="2"/>
    <x v="0"/>
    <x v="2"/>
    <x v="0"/>
    <x v="3"/>
    <x v="24"/>
    <n v="7"/>
    <n v="29752"/>
    <x v="621"/>
    <x v="4"/>
    <x v="6"/>
    <n v="2"/>
    <s v="Yes"/>
  </r>
  <r>
    <n v="624"/>
    <x v="623"/>
    <d v="2025-09-15T00:00:00"/>
    <x v="8"/>
    <s v="Rohan Agarwal"/>
    <n v="57"/>
    <x v="0"/>
    <x v="1"/>
    <x v="4"/>
    <x v="0"/>
    <x v="1"/>
    <x v="11"/>
    <n v="10"/>
    <n v="5481"/>
    <x v="622"/>
    <x v="2"/>
    <x v="8"/>
    <n v="2"/>
    <s v="No"/>
  </r>
  <r>
    <n v="625"/>
    <x v="624"/>
    <d v="2025-09-16T00:00:00"/>
    <x v="8"/>
    <s v="Kavya Patel"/>
    <n v="49"/>
    <x v="1"/>
    <x v="1"/>
    <x v="1"/>
    <x v="2"/>
    <x v="1"/>
    <x v="19"/>
    <n v="5"/>
    <n v="7905"/>
    <x v="623"/>
    <x v="0"/>
    <x v="6"/>
    <n v="3"/>
    <s v="No"/>
  </r>
  <r>
    <n v="626"/>
    <x v="625"/>
    <d v="2025-09-17T00:00:00"/>
    <x v="8"/>
    <s v="Ravi Reddy"/>
    <n v="51"/>
    <x v="0"/>
    <x v="0"/>
    <x v="2"/>
    <x v="2"/>
    <x v="2"/>
    <x v="6"/>
    <n v="10"/>
    <n v="12026"/>
    <x v="624"/>
    <x v="2"/>
    <x v="6"/>
    <n v="3"/>
    <s v="Yes"/>
  </r>
  <r>
    <n v="627"/>
    <x v="626"/>
    <d v="2025-09-18T00:00:00"/>
    <x v="8"/>
    <s v="Ananya Gupta"/>
    <n v="59"/>
    <x v="0"/>
    <x v="0"/>
    <x v="7"/>
    <x v="1"/>
    <x v="1"/>
    <x v="20"/>
    <n v="8"/>
    <n v="4982"/>
    <x v="625"/>
    <x v="3"/>
    <x v="4"/>
    <n v="4"/>
    <s v="No"/>
  </r>
  <r>
    <n v="628"/>
    <x v="627"/>
    <d v="2025-09-19T00:00:00"/>
    <x v="8"/>
    <s v="Meera Kapoor"/>
    <n v="54"/>
    <x v="0"/>
    <x v="1"/>
    <x v="1"/>
    <x v="0"/>
    <x v="0"/>
    <x v="13"/>
    <n v="10"/>
    <n v="31362"/>
    <x v="626"/>
    <x v="1"/>
    <x v="1"/>
    <n v="1"/>
    <s v="No"/>
  </r>
  <r>
    <n v="629"/>
    <x v="628"/>
    <d v="2025-09-20T00:00:00"/>
    <x v="8"/>
    <s v="Divya Kapoor"/>
    <n v="28"/>
    <x v="2"/>
    <x v="0"/>
    <x v="4"/>
    <x v="2"/>
    <x v="0"/>
    <x v="8"/>
    <n v="2"/>
    <n v="35316"/>
    <x v="627"/>
    <x v="4"/>
    <x v="6"/>
    <n v="3"/>
    <s v="Yes"/>
  </r>
  <r>
    <n v="630"/>
    <x v="629"/>
    <d v="2025-09-21T00:00:00"/>
    <x v="8"/>
    <s v="Raj Reddy"/>
    <n v="45"/>
    <x v="1"/>
    <x v="0"/>
    <x v="0"/>
    <x v="3"/>
    <x v="3"/>
    <x v="24"/>
    <n v="7"/>
    <n v="11012"/>
    <x v="628"/>
    <x v="1"/>
    <x v="8"/>
    <n v="2"/>
    <s v="No"/>
  </r>
  <r>
    <n v="631"/>
    <x v="630"/>
    <d v="2025-09-22T00:00:00"/>
    <x v="8"/>
    <s v="Divya Bose"/>
    <n v="29"/>
    <x v="2"/>
    <x v="0"/>
    <x v="4"/>
    <x v="2"/>
    <x v="1"/>
    <x v="21"/>
    <n v="5"/>
    <n v="38288"/>
    <x v="629"/>
    <x v="0"/>
    <x v="9"/>
    <n v="1"/>
    <s v="Yes"/>
  </r>
  <r>
    <n v="632"/>
    <x v="631"/>
    <d v="2025-09-23T00:00:00"/>
    <x v="8"/>
    <s v="Sanya Ghosh"/>
    <n v="24"/>
    <x v="2"/>
    <x v="0"/>
    <x v="1"/>
    <x v="0"/>
    <x v="4"/>
    <x v="4"/>
    <n v="4"/>
    <n v="506"/>
    <x v="630"/>
    <x v="0"/>
    <x v="5"/>
    <n v="4"/>
    <s v="Yes"/>
  </r>
  <r>
    <n v="633"/>
    <x v="632"/>
    <d v="2025-09-24T00:00:00"/>
    <x v="8"/>
    <s v="Ravi Kapoor"/>
    <n v="32"/>
    <x v="1"/>
    <x v="1"/>
    <x v="2"/>
    <x v="1"/>
    <x v="1"/>
    <x v="21"/>
    <n v="2"/>
    <n v="4258"/>
    <x v="631"/>
    <x v="2"/>
    <x v="6"/>
    <n v="1"/>
    <s v="Yes"/>
  </r>
  <r>
    <n v="634"/>
    <x v="633"/>
    <d v="2025-09-25T00:00:00"/>
    <x v="8"/>
    <s v="Priya Gupta"/>
    <n v="37"/>
    <x v="1"/>
    <x v="1"/>
    <x v="0"/>
    <x v="2"/>
    <x v="1"/>
    <x v="21"/>
    <n v="1"/>
    <n v="31263"/>
    <x v="632"/>
    <x v="4"/>
    <x v="5"/>
    <n v="2"/>
    <s v="Yes"/>
  </r>
  <r>
    <n v="635"/>
    <x v="634"/>
    <d v="2025-09-26T00:00:00"/>
    <x v="8"/>
    <s v="Raj Sharma"/>
    <n v="58"/>
    <x v="0"/>
    <x v="0"/>
    <x v="3"/>
    <x v="0"/>
    <x v="3"/>
    <x v="24"/>
    <n v="4"/>
    <n v="10142"/>
    <x v="633"/>
    <x v="1"/>
    <x v="2"/>
    <n v="2"/>
    <s v="Yes"/>
  </r>
  <r>
    <n v="636"/>
    <x v="635"/>
    <d v="2025-09-27T00:00:00"/>
    <x v="8"/>
    <s v="Ravi Kapoor"/>
    <n v="47"/>
    <x v="1"/>
    <x v="1"/>
    <x v="2"/>
    <x v="3"/>
    <x v="3"/>
    <x v="12"/>
    <n v="3"/>
    <n v="17265"/>
    <x v="634"/>
    <x v="3"/>
    <x v="3"/>
    <n v="1"/>
    <s v="Yes"/>
  </r>
  <r>
    <n v="637"/>
    <x v="636"/>
    <d v="2025-09-28T00:00:00"/>
    <x v="8"/>
    <s v="Divya Ghosh"/>
    <n v="59"/>
    <x v="0"/>
    <x v="1"/>
    <x v="0"/>
    <x v="1"/>
    <x v="2"/>
    <x v="2"/>
    <n v="2"/>
    <n v="23808"/>
    <x v="635"/>
    <x v="3"/>
    <x v="5"/>
    <n v="2"/>
    <s v="No"/>
  </r>
  <r>
    <n v="638"/>
    <x v="637"/>
    <d v="2025-09-29T00:00:00"/>
    <x v="8"/>
    <s v="Divya Malhotra"/>
    <n v="37"/>
    <x v="1"/>
    <x v="1"/>
    <x v="0"/>
    <x v="3"/>
    <x v="3"/>
    <x v="22"/>
    <n v="3"/>
    <n v="14875"/>
    <x v="636"/>
    <x v="3"/>
    <x v="5"/>
    <n v="2"/>
    <s v="No"/>
  </r>
  <r>
    <n v="639"/>
    <x v="638"/>
    <d v="2025-09-30T00:00:00"/>
    <x v="8"/>
    <s v="Ishita Reddy"/>
    <n v="57"/>
    <x v="0"/>
    <x v="1"/>
    <x v="2"/>
    <x v="2"/>
    <x v="1"/>
    <x v="21"/>
    <n v="2"/>
    <n v="37499"/>
    <x v="637"/>
    <x v="3"/>
    <x v="4"/>
    <n v="5"/>
    <s v="No"/>
  </r>
  <r>
    <n v="640"/>
    <x v="639"/>
    <d v="2025-10-01T00:00:00"/>
    <x v="9"/>
    <s v="Tanvi Nair"/>
    <n v="31"/>
    <x v="1"/>
    <x v="0"/>
    <x v="5"/>
    <x v="0"/>
    <x v="4"/>
    <x v="4"/>
    <n v="10"/>
    <n v="1857"/>
    <x v="638"/>
    <x v="0"/>
    <x v="6"/>
    <n v="5"/>
    <s v="Yes"/>
  </r>
  <r>
    <n v="641"/>
    <x v="640"/>
    <d v="2025-10-02T00:00:00"/>
    <x v="9"/>
    <s v="Raj Ghosh"/>
    <n v="39"/>
    <x v="1"/>
    <x v="1"/>
    <x v="5"/>
    <x v="2"/>
    <x v="2"/>
    <x v="6"/>
    <n v="8"/>
    <n v="20814"/>
    <x v="639"/>
    <x v="0"/>
    <x v="8"/>
    <n v="4"/>
    <s v="Yes"/>
  </r>
  <r>
    <n v="642"/>
    <x v="641"/>
    <d v="2025-10-03T00:00:00"/>
    <x v="9"/>
    <s v="Tanvi Malhotra"/>
    <n v="20"/>
    <x v="2"/>
    <x v="1"/>
    <x v="8"/>
    <x v="0"/>
    <x v="0"/>
    <x v="17"/>
    <n v="5"/>
    <n v="24829"/>
    <x v="640"/>
    <x v="4"/>
    <x v="9"/>
    <n v="4"/>
    <s v="Yes"/>
  </r>
  <r>
    <n v="643"/>
    <x v="642"/>
    <d v="2025-10-04T00:00:00"/>
    <x v="9"/>
    <s v="Divya Chopra"/>
    <n v="25"/>
    <x v="2"/>
    <x v="0"/>
    <x v="5"/>
    <x v="3"/>
    <x v="1"/>
    <x v="11"/>
    <n v="7"/>
    <n v="4489"/>
    <x v="641"/>
    <x v="0"/>
    <x v="1"/>
    <n v="4"/>
    <s v="Yes"/>
  </r>
  <r>
    <n v="644"/>
    <x v="643"/>
    <d v="2025-10-05T00:00:00"/>
    <x v="9"/>
    <s v="Rohan Nair"/>
    <n v="31"/>
    <x v="1"/>
    <x v="0"/>
    <x v="9"/>
    <x v="3"/>
    <x v="1"/>
    <x v="19"/>
    <n v="7"/>
    <n v="18752"/>
    <x v="642"/>
    <x v="4"/>
    <x v="1"/>
    <n v="3"/>
    <s v="No"/>
  </r>
  <r>
    <n v="645"/>
    <x v="644"/>
    <d v="2025-10-06T00:00:00"/>
    <x v="9"/>
    <s v="Pooja Malhotra"/>
    <n v="60"/>
    <x v="0"/>
    <x v="0"/>
    <x v="8"/>
    <x v="1"/>
    <x v="3"/>
    <x v="3"/>
    <n v="8"/>
    <n v="16125"/>
    <x v="643"/>
    <x v="0"/>
    <x v="2"/>
    <n v="2"/>
    <s v="Yes"/>
  </r>
  <r>
    <n v="646"/>
    <x v="645"/>
    <d v="2025-10-07T00:00:00"/>
    <x v="9"/>
    <s v="Aarav Jain"/>
    <n v="48"/>
    <x v="1"/>
    <x v="1"/>
    <x v="6"/>
    <x v="0"/>
    <x v="0"/>
    <x v="0"/>
    <n v="10"/>
    <n v="20218"/>
    <x v="644"/>
    <x v="1"/>
    <x v="2"/>
    <n v="4"/>
    <s v="No"/>
  </r>
  <r>
    <n v="647"/>
    <x v="646"/>
    <d v="2025-10-08T00:00:00"/>
    <x v="9"/>
    <s v="Divya Bose"/>
    <n v="49"/>
    <x v="1"/>
    <x v="1"/>
    <x v="0"/>
    <x v="1"/>
    <x v="4"/>
    <x v="15"/>
    <n v="2"/>
    <n v="1991"/>
    <x v="645"/>
    <x v="3"/>
    <x v="4"/>
    <n v="5"/>
    <s v="Yes"/>
  </r>
  <r>
    <n v="648"/>
    <x v="647"/>
    <d v="2025-10-09T00:00:00"/>
    <x v="9"/>
    <s v="Kunal Bhatia"/>
    <n v="49"/>
    <x v="1"/>
    <x v="1"/>
    <x v="5"/>
    <x v="0"/>
    <x v="1"/>
    <x v="11"/>
    <n v="6"/>
    <n v="36458"/>
    <x v="646"/>
    <x v="3"/>
    <x v="6"/>
    <n v="4"/>
    <s v="No"/>
  </r>
  <r>
    <n v="649"/>
    <x v="648"/>
    <d v="2025-10-10T00:00:00"/>
    <x v="9"/>
    <s v="Divya Chopra"/>
    <n v="45"/>
    <x v="1"/>
    <x v="0"/>
    <x v="6"/>
    <x v="2"/>
    <x v="3"/>
    <x v="16"/>
    <n v="5"/>
    <n v="8000"/>
    <x v="647"/>
    <x v="1"/>
    <x v="3"/>
    <n v="5"/>
    <s v="Yes"/>
  </r>
  <r>
    <n v="650"/>
    <x v="649"/>
    <d v="2025-10-11T00:00:00"/>
    <x v="9"/>
    <s v="Sneha Gupta"/>
    <n v="34"/>
    <x v="1"/>
    <x v="1"/>
    <x v="4"/>
    <x v="3"/>
    <x v="3"/>
    <x v="3"/>
    <n v="5"/>
    <n v="41220"/>
    <x v="648"/>
    <x v="0"/>
    <x v="0"/>
    <n v="2"/>
    <s v="No"/>
  </r>
  <r>
    <n v="651"/>
    <x v="650"/>
    <d v="2025-10-12T00:00:00"/>
    <x v="9"/>
    <s v="Manish Roy"/>
    <n v="32"/>
    <x v="1"/>
    <x v="1"/>
    <x v="2"/>
    <x v="2"/>
    <x v="4"/>
    <x v="15"/>
    <n v="2"/>
    <n v="561"/>
    <x v="649"/>
    <x v="4"/>
    <x v="6"/>
    <n v="2"/>
    <s v="No"/>
  </r>
  <r>
    <n v="652"/>
    <x v="651"/>
    <d v="2025-10-13T00:00:00"/>
    <x v="9"/>
    <s v="Kavya Ghosh"/>
    <n v="28"/>
    <x v="2"/>
    <x v="0"/>
    <x v="1"/>
    <x v="2"/>
    <x v="1"/>
    <x v="1"/>
    <n v="7"/>
    <n v="41471"/>
    <x v="650"/>
    <x v="4"/>
    <x v="4"/>
    <n v="4"/>
    <s v="No"/>
  </r>
  <r>
    <n v="653"/>
    <x v="652"/>
    <d v="2025-10-14T00:00:00"/>
    <x v="9"/>
    <s v="Aarav Das"/>
    <n v="23"/>
    <x v="2"/>
    <x v="0"/>
    <x v="1"/>
    <x v="3"/>
    <x v="4"/>
    <x v="10"/>
    <n v="4"/>
    <n v="1291"/>
    <x v="651"/>
    <x v="4"/>
    <x v="8"/>
    <n v="4"/>
    <s v="Yes"/>
  </r>
  <r>
    <n v="654"/>
    <x v="653"/>
    <d v="2025-10-15T00:00:00"/>
    <x v="9"/>
    <s v="Priya Verma"/>
    <n v="32"/>
    <x v="1"/>
    <x v="0"/>
    <x v="8"/>
    <x v="1"/>
    <x v="3"/>
    <x v="16"/>
    <n v="10"/>
    <n v="41181"/>
    <x v="652"/>
    <x v="4"/>
    <x v="5"/>
    <n v="5"/>
    <s v="No"/>
  </r>
  <r>
    <n v="655"/>
    <x v="654"/>
    <d v="2025-10-16T00:00:00"/>
    <x v="9"/>
    <s v="Kavya Singh"/>
    <n v="32"/>
    <x v="1"/>
    <x v="1"/>
    <x v="6"/>
    <x v="0"/>
    <x v="3"/>
    <x v="12"/>
    <n v="5"/>
    <n v="36435"/>
    <x v="653"/>
    <x v="4"/>
    <x v="3"/>
    <n v="2"/>
    <s v="Yes"/>
  </r>
  <r>
    <n v="656"/>
    <x v="655"/>
    <d v="2025-10-17T00:00:00"/>
    <x v="9"/>
    <s v="Sanya Mehta"/>
    <n v="25"/>
    <x v="2"/>
    <x v="0"/>
    <x v="1"/>
    <x v="0"/>
    <x v="0"/>
    <x v="8"/>
    <n v="4"/>
    <n v="43412"/>
    <x v="654"/>
    <x v="4"/>
    <x v="3"/>
    <n v="4"/>
    <s v="Yes"/>
  </r>
  <r>
    <n v="657"/>
    <x v="656"/>
    <d v="2025-10-18T00:00:00"/>
    <x v="9"/>
    <s v="Divya Malhotra"/>
    <n v="28"/>
    <x v="2"/>
    <x v="0"/>
    <x v="6"/>
    <x v="3"/>
    <x v="2"/>
    <x v="2"/>
    <n v="6"/>
    <n v="28336"/>
    <x v="655"/>
    <x v="1"/>
    <x v="5"/>
    <n v="1"/>
    <s v="No"/>
  </r>
  <r>
    <n v="658"/>
    <x v="657"/>
    <d v="2025-10-19T00:00:00"/>
    <x v="9"/>
    <s v="Sneha Agarwal"/>
    <n v="38"/>
    <x v="1"/>
    <x v="1"/>
    <x v="8"/>
    <x v="3"/>
    <x v="4"/>
    <x v="7"/>
    <n v="3"/>
    <n v="624"/>
    <x v="656"/>
    <x v="3"/>
    <x v="3"/>
    <n v="4"/>
    <s v="Yes"/>
  </r>
  <r>
    <n v="659"/>
    <x v="658"/>
    <d v="2025-10-20T00:00:00"/>
    <x v="9"/>
    <s v="Sanya Das"/>
    <n v="33"/>
    <x v="1"/>
    <x v="0"/>
    <x v="2"/>
    <x v="3"/>
    <x v="3"/>
    <x v="22"/>
    <n v="6"/>
    <n v="35263"/>
    <x v="657"/>
    <x v="3"/>
    <x v="8"/>
    <n v="4"/>
    <s v="No"/>
  </r>
  <r>
    <n v="660"/>
    <x v="659"/>
    <d v="2025-10-21T00:00:00"/>
    <x v="9"/>
    <s v="Rohan Verma"/>
    <n v="27"/>
    <x v="2"/>
    <x v="0"/>
    <x v="3"/>
    <x v="0"/>
    <x v="0"/>
    <x v="17"/>
    <n v="6"/>
    <n v="13247"/>
    <x v="658"/>
    <x v="1"/>
    <x v="7"/>
    <n v="5"/>
    <s v="No"/>
  </r>
  <r>
    <n v="661"/>
    <x v="660"/>
    <d v="2025-10-22T00:00:00"/>
    <x v="9"/>
    <s v="Aditya Reddy"/>
    <n v="47"/>
    <x v="1"/>
    <x v="1"/>
    <x v="8"/>
    <x v="1"/>
    <x v="4"/>
    <x v="4"/>
    <n v="7"/>
    <n v="702"/>
    <x v="659"/>
    <x v="3"/>
    <x v="7"/>
    <n v="4"/>
    <s v="No"/>
  </r>
  <r>
    <n v="662"/>
    <x v="661"/>
    <d v="2025-10-23T00:00:00"/>
    <x v="9"/>
    <s v="Meera Gupta"/>
    <n v="54"/>
    <x v="0"/>
    <x v="1"/>
    <x v="1"/>
    <x v="0"/>
    <x v="2"/>
    <x v="9"/>
    <n v="2"/>
    <n v="33666"/>
    <x v="660"/>
    <x v="0"/>
    <x v="2"/>
    <n v="1"/>
    <s v="No"/>
  </r>
  <r>
    <n v="663"/>
    <x v="662"/>
    <d v="2025-10-24T00:00:00"/>
    <x v="9"/>
    <s v="Kunal Nair"/>
    <n v="21"/>
    <x v="2"/>
    <x v="0"/>
    <x v="0"/>
    <x v="2"/>
    <x v="4"/>
    <x v="10"/>
    <n v="3"/>
    <n v="124"/>
    <x v="661"/>
    <x v="1"/>
    <x v="9"/>
    <n v="5"/>
    <s v="No"/>
  </r>
  <r>
    <n v="664"/>
    <x v="663"/>
    <d v="2025-10-25T00:00:00"/>
    <x v="9"/>
    <s v="Ravi Chopra"/>
    <n v="22"/>
    <x v="2"/>
    <x v="0"/>
    <x v="0"/>
    <x v="0"/>
    <x v="3"/>
    <x v="3"/>
    <n v="1"/>
    <n v="28938"/>
    <x v="662"/>
    <x v="0"/>
    <x v="1"/>
    <n v="3"/>
    <s v="No"/>
  </r>
  <r>
    <n v="665"/>
    <x v="664"/>
    <d v="2025-10-26T00:00:00"/>
    <x v="9"/>
    <s v="Ishita Das"/>
    <n v="51"/>
    <x v="0"/>
    <x v="1"/>
    <x v="3"/>
    <x v="2"/>
    <x v="2"/>
    <x v="6"/>
    <n v="6"/>
    <n v="16823"/>
    <x v="663"/>
    <x v="3"/>
    <x v="3"/>
    <n v="1"/>
    <s v="No"/>
  </r>
  <r>
    <n v="666"/>
    <x v="665"/>
    <d v="2025-10-27T00:00:00"/>
    <x v="9"/>
    <s v="Aarav Reddy"/>
    <n v="38"/>
    <x v="1"/>
    <x v="1"/>
    <x v="3"/>
    <x v="2"/>
    <x v="4"/>
    <x v="15"/>
    <n v="3"/>
    <n v="1612"/>
    <x v="664"/>
    <x v="0"/>
    <x v="0"/>
    <n v="1"/>
    <s v="Yes"/>
  </r>
  <r>
    <n v="667"/>
    <x v="666"/>
    <d v="2025-10-28T00:00:00"/>
    <x v="9"/>
    <s v="Neha Verma"/>
    <n v="52"/>
    <x v="0"/>
    <x v="0"/>
    <x v="3"/>
    <x v="3"/>
    <x v="4"/>
    <x v="10"/>
    <n v="5"/>
    <n v="1693"/>
    <x v="665"/>
    <x v="3"/>
    <x v="6"/>
    <n v="5"/>
    <s v="No"/>
  </r>
  <r>
    <n v="668"/>
    <x v="667"/>
    <d v="2025-10-29T00:00:00"/>
    <x v="9"/>
    <s v="Neha Iyer"/>
    <n v="44"/>
    <x v="1"/>
    <x v="1"/>
    <x v="5"/>
    <x v="2"/>
    <x v="1"/>
    <x v="1"/>
    <n v="5"/>
    <n v="2655"/>
    <x v="666"/>
    <x v="3"/>
    <x v="6"/>
    <n v="5"/>
    <s v="Yes"/>
  </r>
  <r>
    <n v="669"/>
    <x v="668"/>
    <d v="2025-10-30T00:00:00"/>
    <x v="9"/>
    <s v="Ishita Sen"/>
    <n v="46"/>
    <x v="1"/>
    <x v="0"/>
    <x v="7"/>
    <x v="3"/>
    <x v="2"/>
    <x v="2"/>
    <n v="3"/>
    <n v="45161"/>
    <x v="667"/>
    <x v="1"/>
    <x v="9"/>
    <n v="1"/>
    <s v="Yes"/>
  </r>
  <r>
    <n v="670"/>
    <x v="669"/>
    <d v="2025-10-31T00:00:00"/>
    <x v="9"/>
    <s v="Ananya Das"/>
    <n v="37"/>
    <x v="1"/>
    <x v="1"/>
    <x v="4"/>
    <x v="1"/>
    <x v="1"/>
    <x v="11"/>
    <n v="3"/>
    <n v="10748"/>
    <x v="668"/>
    <x v="4"/>
    <x v="7"/>
    <n v="5"/>
    <s v="No"/>
  </r>
  <r>
    <n v="671"/>
    <x v="670"/>
    <d v="2025-11-01T00:00:00"/>
    <x v="10"/>
    <s v="Priya Patel"/>
    <n v="21"/>
    <x v="2"/>
    <x v="0"/>
    <x v="1"/>
    <x v="2"/>
    <x v="4"/>
    <x v="10"/>
    <n v="4"/>
    <n v="1762"/>
    <x v="669"/>
    <x v="2"/>
    <x v="6"/>
    <n v="2"/>
    <s v="No"/>
  </r>
  <r>
    <n v="672"/>
    <x v="671"/>
    <d v="2025-11-02T00:00:00"/>
    <x v="10"/>
    <s v="Vikram Verma"/>
    <n v="56"/>
    <x v="0"/>
    <x v="1"/>
    <x v="4"/>
    <x v="1"/>
    <x v="1"/>
    <x v="20"/>
    <n v="10"/>
    <n v="3686"/>
    <x v="670"/>
    <x v="0"/>
    <x v="9"/>
    <n v="4"/>
    <s v="No"/>
  </r>
  <r>
    <n v="673"/>
    <x v="672"/>
    <d v="2025-11-03T00:00:00"/>
    <x v="10"/>
    <s v="Aditya Sharma"/>
    <n v="26"/>
    <x v="2"/>
    <x v="0"/>
    <x v="8"/>
    <x v="3"/>
    <x v="3"/>
    <x v="3"/>
    <n v="6"/>
    <n v="15725"/>
    <x v="671"/>
    <x v="1"/>
    <x v="4"/>
    <n v="5"/>
    <s v="Yes"/>
  </r>
  <r>
    <n v="674"/>
    <x v="673"/>
    <d v="2025-11-04T00:00:00"/>
    <x v="10"/>
    <s v="Ananya Sen"/>
    <n v="18"/>
    <x v="2"/>
    <x v="0"/>
    <x v="5"/>
    <x v="3"/>
    <x v="0"/>
    <x v="0"/>
    <n v="10"/>
    <n v="28151"/>
    <x v="672"/>
    <x v="0"/>
    <x v="5"/>
    <n v="2"/>
    <s v="No"/>
  </r>
  <r>
    <n v="675"/>
    <x v="674"/>
    <d v="2025-11-05T00:00:00"/>
    <x v="10"/>
    <s v="Sanya Singh"/>
    <n v="30"/>
    <x v="1"/>
    <x v="0"/>
    <x v="5"/>
    <x v="2"/>
    <x v="4"/>
    <x v="4"/>
    <n v="9"/>
    <n v="912"/>
    <x v="673"/>
    <x v="0"/>
    <x v="8"/>
    <n v="3"/>
    <s v="Yes"/>
  </r>
  <r>
    <n v="676"/>
    <x v="675"/>
    <d v="2025-11-06T00:00:00"/>
    <x v="10"/>
    <s v="Kunal Sharma"/>
    <n v="29"/>
    <x v="2"/>
    <x v="0"/>
    <x v="5"/>
    <x v="1"/>
    <x v="3"/>
    <x v="16"/>
    <n v="7"/>
    <n v="5242"/>
    <x v="674"/>
    <x v="1"/>
    <x v="4"/>
    <n v="5"/>
    <s v="Yes"/>
  </r>
  <r>
    <n v="677"/>
    <x v="676"/>
    <d v="2025-11-07T00:00:00"/>
    <x v="10"/>
    <s v="Neha Reddy"/>
    <n v="52"/>
    <x v="0"/>
    <x v="1"/>
    <x v="2"/>
    <x v="1"/>
    <x v="4"/>
    <x v="5"/>
    <n v="10"/>
    <n v="140"/>
    <x v="675"/>
    <x v="2"/>
    <x v="2"/>
    <n v="3"/>
    <s v="No"/>
  </r>
  <r>
    <n v="678"/>
    <x v="677"/>
    <d v="2025-11-08T00:00:00"/>
    <x v="10"/>
    <s v="Aditya Mehta"/>
    <n v="40"/>
    <x v="1"/>
    <x v="1"/>
    <x v="7"/>
    <x v="3"/>
    <x v="4"/>
    <x v="15"/>
    <n v="5"/>
    <n v="1829"/>
    <x v="676"/>
    <x v="4"/>
    <x v="5"/>
    <n v="3"/>
    <s v="No"/>
  </r>
  <r>
    <n v="679"/>
    <x v="678"/>
    <d v="2025-11-09T00:00:00"/>
    <x v="10"/>
    <s v="Tanvi Iyer"/>
    <n v="48"/>
    <x v="1"/>
    <x v="0"/>
    <x v="0"/>
    <x v="1"/>
    <x v="4"/>
    <x v="15"/>
    <n v="8"/>
    <n v="1333"/>
    <x v="677"/>
    <x v="4"/>
    <x v="6"/>
    <n v="4"/>
    <s v="Yes"/>
  </r>
  <r>
    <n v="680"/>
    <x v="679"/>
    <d v="2025-11-10T00:00:00"/>
    <x v="10"/>
    <s v="Arjun Chopra"/>
    <n v="33"/>
    <x v="1"/>
    <x v="1"/>
    <x v="7"/>
    <x v="2"/>
    <x v="3"/>
    <x v="12"/>
    <n v="2"/>
    <n v="32866"/>
    <x v="678"/>
    <x v="0"/>
    <x v="3"/>
    <n v="1"/>
    <s v="No"/>
  </r>
  <r>
    <n v="681"/>
    <x v="680"/>
    <d v="2025-11-11T00:00:00"/>
    <x v="10"/>
    <s v="Rohan Gupta"/>
    <n v="48"/>
    <x v="1"/>
    <x v="1"/>
    <x v="2"/>
    <x v="3"/>
    <x v="4"/>
    <x v="15"/>
    <n v="7"/>
    <n v="1124"/>
    <x v="679"/>
    <x v="4"/>
    <x v="7"/>
    <n v="5"/>
    <s v="Yes"/>
  </r>
  <r>
    <n v="682"/>
    <x v="681"/>
    <d v="2025-11-12T00:00:00"/>
    <x v="10"/>
    <s v="Meera Nair"/>
    <n v="38"/>
    <x v="1"/>
    <x v="1"/>
    <x v="3"/>
    <x v="3"/>
    <x v="4"/>
    <x v="7"/>
    <n v="10"/>
    <n v="813"/>
    <x v="680"/>
    <x v="3"/>
    <x v="5"/>
    <n v="1"/>
    <s v="Yes"/>
  </r>
  <r>
    <n v="683"/>
    <x v="682"/>
    <d v="2025-11-13T00:00:00"/>
    <x v="10"/>
    <s v="Pooja Iyer"/>
    <n v="30"/>
    <x v="1"/>
    <x v="1"/>
    <x v="6"/>
    <x v="3"/>
    <x v="2"/>
    <x v="2"/>
    <n v="3"/>
    <n v="25033"/>
    <x v="681"/>
    <x v="3"/>
    <x v="3"/>
    <n v="2"/>
    <s v="No"/>
  </r>
  <r>
    <n v="684"/>
    <x v="683"/>
    <d v="2025-11-14T00:00:00"/>
    <x v="10"/>
    <s v="Aditya Gupta"/>
    <n v="37"/>
    <x v="1"/>
    <x v="1"/>
    <x v="0"/>
    <x v="2"/>
    <x v="3"/>
    <x v="16"/>
    <n v="7"/>
    <n v="28832"/>
    <x v="682"/>
    <x v="3"/>
    <x v="4"/>
    <n v="5"/>
    <s v="No"/>
  </r>
  <r>
    <n v="685"/>
    <x v="684"/>
    <d v="2025-11-15T00:00:00"/>
    <x v="10"/>
    <s v="Ishita Verma"/>
    <n v="35"/>
    <x v="1"/>
    <x v="1"/>
    <x v="3"/>
    <x v="0"/>
    <x v="3"/>
    <x v="24"/>
    <n v="1"/>
    <n v="12023"/>
    <x v="683"/>
    <x v="1"/>
    <x v="6"/>
    <n v="3"/>
    <s v="No"/>
  </r>
  <r>
    <n v="686"/>
    <x v="685"/>
    <d v="2025-11-16T00:00:00"/>
    <x v="10"/>
    <s v="Divya Roy"/>
    <n v="42"/>
    <x v="1"/>
    <x v="1"/>
    <x v="0"/>
    <x v="1"/>
    <x v="4"/>
    <x v="7"/>
    <n v="8"/>
    <n v="1784"/>
    <x v="684"/>
    <x v="1"/>
    <x v="0"/>
    <n v="5"/>
    <s v="Yes"/>
  </r>
  <r>
    <n v="687"/>
    <x v="686"/>
    <d v="2025-11-17T00:00:00"/>
    <x v="10"/>
    <s v="Ananya Verma"/>
    <n v="29"/>
    <x v="2"/>
    <x v="0"/>
    <x v="6"/>
    <x v="0"/>
    <x v="4"/>
    <x v="4"/>
    <n v="7"/>
    <n v="671"/>
    <x v="685"/>
    <x v="0"/>
    <x v="6"/>
    <n v="2"/>
    <s v="Yes"/>
  </r>
  <r>
    <n v="688"/>
    <x v="687"/>
    <d v="2025-11-18T00:00:00"/>
    <x v="10"/>
    <s v="Pooja Sen"/>
    <n v="25"/>
    <x v="2"/>
    <x v="1"/>
    <x v="9"/>
    <x v="3"/>
    <x v="3"/>
    <x v="3"/>
    <n v="4"/>
    <n v="30622"/>
    <x v="686"/>
    <x v="4"/>
    <x v="6"/>
    <n v="1"/>
    <s v="Yes"/>
  </r>
  <r>
    <n v="689"/>
    <x v="688"/>
    <d v="2025-11-19T00:00:00"/>
    <x v="10"/>
    <s v="Neha Jain"/>
    <n v="40"/>
    <x v="1"/>
    <x v="0"/>
    <x v="4"/>
    <x v="1"/>
    <x v="0"/>
    <x v="23"/>
    <n v="1"/>
    <n v="4372"/>
    <x v="687"/>
    <x v="1"/>
    <x v="2"/>
    <n v="1"/>
    <s v="Yes"/>
  </r>
  <r>
    <n v="690"/>
    <x v="689"/>
    <d v="2025-11-20T00:00:00"/>
    <x v="10"/>
    <s v="Ananya Agarwal"/>
    <n v="30"/>
    <x v="1"/>
    <x v="0"/>
    <x v="6"/>
    <x v="2"/>
    <x v="3"/>
    <x v="12"/>
    <n v="5"/>
    <n v="46517"/>
    <x v="688"/>
    <x v="1"/>
    <x v="6"/>
    <n v="4"/>
    <s v="No"/>
  </r>
  <r>
    <n v="691"/>
    <x v="690"/>
    <d v="2025-11-21T00:00:00"/>
    <x v="10"/>
    <s v="Aarav Sharma"/>
    <n v="33"/>
    <x v="1"/>
    <x v="0"/>
    <x v="4"/>
    <x v="2"/>
    <x v="1"/>
    <x v="1"/>
    <n v="1"/>
    <n v="22926"/>
    <x v="689"/>
    <x v="1"/>
    <x v="3"/>
    <n v="3"/>
    <s v="Yes"/>
  </r>
  <r>
    <n v="692"/>
    <x v="691"/>
    <d v="2025-11-22T00:00:00"/>
    <x v="10"/>
    <s v="Meera Singh"/>
    <n v="59"/>
    <x v="0"/>
    <x v="1"/>
    <x v="8"/>
    <x v="1"/>
    <x v="4"/>
    <x v="5"/>
    <n v="1"/>
    <n v="579"/>
    <x v="690"/>
    <x v="1"/>
    <x v="5"/>
    <n v="2"/>
    <s v="Yes"/>
  </r>
  <r>
    <n v="693"/>
    <x v="692"/>
    <d v="2025-11-23T00:00:00"/>
    <x v="10"/>
    <s v="Arjun Chopra"/>
    <n v="56"/>
    <x v="0"/>
    <x v="0"/>
    <x v="8"/>
    <x v="1"/>
    <x v="2"/>
    <x v="14"/>
    <n v="10"/>
    <n v="14474"/>
    <x v="691"/>
    <x v="2"/>
    <x v="1"/>
    <n v="5"/>
    <s v="No"/>
  </r>
  <r>
    <n v="694"/>
    <x v="693"/>
    <d v="2025-11-24T00:00:00"/>
    <x v="10"/>
    <s v="Tanvi Mehta"/>
    <n v="34"/>
    <x v="1"/>
    <x v="1"/>
    <x v="1"/>
    <x v="2"/>
    <x v="4"/>
    <x v="5"/>
    <n v="1"/>
    <n v="1823"/>
    <x v="692"/>
    <x v="1"/>
    <x v="8"/>
    <n v="3"/>
    <s v="No"/>
  </r>
  <r>
    <n v="695"/>
    <x v="694"/>
    <d v="2025-11-25T00:00:00"/>
    <x v="10"/>
    <s v="Aditya Agarwal"/>
    <n v="52"/>
    <x v="0"/>
    <x v="1"/>
    <x v="1"/>
    <x v="0"/>
    <x v="1"/>
    <x v="1"/>
    <n v="8"/>
    <n v="19292"/>
    <x v="693"/>
    <x v="3"/>
    <x v="2"/>
    <n v="4"/>
    <s v="Yes"/>
  </r>
  <r>
    <n v="696"/>
    <x v="695"/>
    <d v="2025-11-26T00:00:00"/>
    <x v="10"/>
    <s v="Sanya Singh"/>
    <n v="23"/>
    <x v="2"/>
    <x v="0"/>
    <x v="4"/>
    <x v="1"/>
    <x v="1"/>
    <x v="21"/>
    <n v="2"/>
    <n v="2850"/>
    <x v="694"/>
    <x v="2"/>
    <x v="3"/>
    <n v="4"/>
    <s v="Yes"/>
  </r>
  <r>
    <n v="697"/>
    <x v="696"/>
    <d v="2025-11-27T00:00:00"/>
    <x v="10"/>
    <s v="Sanya Sharma"/>
    <n v="57"/>
    <x v="0"/>
    <x v="1"/>
    <x v="8"/>
    <x v="1"/>
    <x v="4"/>
    <x v="7"/>
    <n v="3"/>
    <n v="541"/>
    <x v="695"/>
    <x v="4"/>
    <x v="5"/>
    <n v="1"/>
    <s v="Yes"/>
  </r>
  <r>
    <n v="698"/>
    <x v="697"/>
    <d v="2025-11-28T00:00:00"/>
    <x v="10"/>
    <s v="Arjun Ghosh"/>
    <n v="39"/>
    <x v="1"/>
    <x v="0"/>
    <x v="6"/>
    <x v="0"/>
    <x v="3"/>
    <x v="24"/>
    <n v="1"/>
    <n v="6601"/>
    <x v="696"/>
    <x v="0"/>
    <x v="7"/>
    <n v="1"/>
    <s v="No"/>
  </r>
  <r>
    <n v="699"/>
    <x v="698"/>
    <d v="2025-11-29T00:00:00"/>
    <x v="10"/>
    <s v="Vikram Ghosh"/>
    <n v="33"/>
    <x v="1"/>
    <x v="1"/>
    <x v="2"/>
    <x v="2"/>
    <x v="2"/>
    <x v="9"/>
    <n v="10"/>
    <n v="30537"/>
    <x v="697"/>
    <x v="1"/>
    <x v="5"/>
    <n v="1"/>
    <s v="No"/>
  </r>
  <r>
    <n v="700"/>
    <x v="699"/>
    <d v="2025-11-30T00:00:00"/>
    <x v="10"/>
    <s v="Raj Sharma"/>
    <n v="58"/>
    <x v="0"/>
    <x v="0"/>
    <x v="8"/>
    <x v="2"/>
    <x v="1"/>
    <x v="1"/>
    <n v="8"/>
    <n v="23399"/>
    <x v="698"/>
    <x v="0"/>
    <x v="5"/>
    <n v="3"/>
    <s v="No"/>
  </r>
  <r>
    <n v="701"/>
    <x v="700"/>
    <d v="2025-12-01T00:00:00"/>
    <x v="11"/>
    <s v="Kunal Sharma"/>
    <n v="54"/>
    <x v="0"/>
    <x v="0"/>
    <x v="5"/>
    <x v="0"/>
    <x v="4"/>
    <x v="7"/>
    <n v="5"/>
    <n v="67"/>
    <x v="699"/>
    <x v="1"/>
    <x v="6"/>
    <n v="4"/>
    <s v="Yes"/>
  </r>
  <r>
    <n v="702"/>
    <x v="701"/>
    <d v="2025-12-02T00:00:00"/>
    <x v="11"/>
    <s v="Ravi Verma"/>
    <n v="18"/>
    <x v="2"/>
    <x v="1"/>
    <x v="0"/>
    <x v="0"/>
    <x v="1"/>
    <x v="19"/>
    <n v="8"/>
    <n v="20759"/>
    <x v="700"/>
    <x v="4"/>
    <x v="6"/>
    <n v="2"/>
    <s v="Yes"/>
  </r>
  <r>
    <n v="703"/>
    <x v="702"/>
    <d v="2025-12-03T00:00:00"/>
    <x v="11"/>
    <s v="Vikram Nair"/>
    <n v="53"/>
    <x v="0"/>
    <x v="1"/>
    <x v="3"/>
    <x v="3"/>
    <x v="3"/>
    <x v="16"/>
    <n v="9"/>
    <n v="14451"/>
    <x v="701"/>
    <x v="3"/>
    <x v="5"/>
    <n v="3"/>
    <s v="Yes"/>
  </r>
  <r>
    <n v="704"/>
    <x v="703"/>
    <d v="2025-12-04T00:00:00"/>
    <x v="11"/>
    <s v="Vikram Malhotra"/>
    <n v="29"/>
    <x v="2"/>
    <x v="0"/>
    <x v="7"/>
    <x v="0"/>
    <x v="1"/>
    <x v="19"/>
    <n v="8"/>
    <n v="2625"/>
    <x v="702"/>
    <x v="1"/>
    <x v="8"/>
    <n v="5"/>
    <s v="Yes"/>
  </r>
  <r>
    <n v="705"/>
    <x v="704"/>
    <d v="2025-12-05T00:00:00"/>
    <x v="11"/>
    <s v="Ravi Das"/>
    <n v="41"/>
    <x v="1"/>
    <x v="1"/>
    <x v="9"/>
    <x v="2"/>
    <x v="3"/>
    <x v="3"/>
    <n v="4"/>
    <n v="10776"/>
    <x v="703"/>
    <x v="0"/>
    <x v="3"/>
    <n v="2"/>
    <s v="Yes"/>
  </r>
  <r>
    <n v="706"/>
    <x v="705"/>
    <d v="2025-12-06T00:00:00"/>
    <x v="11"/>
    <s v="Divya Iyer"/>
    <n v="42"/>
    <x v="1"/>
    <x v="1"/>
    <x v="6"/>
    <x v="3"/>
    <x v="4"/>
    <x v="10"/>
    <n v="8"/>
    <n v="348"/>
    <x v="704"/>
    <x v="3"/>
    <x v="4"/>
    <n v="4"/>
    <s v="No"/>
  </r>
  <r>
    <n v="707"/>
    <x v="706"/>
    <d v="2025-12-07T00:00:00"/>
    <x v="11"/>
    <s v="Priya Nair"/>
    <n v="50"/>
    <x v="0"/>
    <x v="1"/>
    <x v="5"/>
    <x v="0"/>
    <x v="0"/>
    <x v="17"/>
    <n v="8"/>
    <n v="24053"/>
    <x v="705"/>
    <x v="0"/>
    <x v="4"/>
    <n v="2"/>
    <s v="Yes"/>
  </r>
  <r>
    <n v="708"/>
    <x v="707"/>
    <d v="2025-12-08T00:00:00"/>
    <x v="11"/>
    <s v="Ravi Roy"/>
    <n v="23"/>
    <x v="2"/>
    <x v="1"/>
    <x v="2"/>
    <x v="3"/>
    <x v="0"/>
    <x v="8"/>
    <n v="5"/>
    <n v="17509"/>
    <x v="706"/>
    <x v="0"/>
    <x v="1"/>
    <n v="1"/>
    <s v="Yes"/>
  </r>
  <r>
    <n v="709"/>
    <x v="708"/>
    <d v="2025-12-09T00:00:00"/>
    <x v="11"/>
    <s v="Arjun Mehta"/>
    <n v="51"/>
    <x v="0"/>
    <x v="0"/>
    <x v="5"/>
    <x v="3"/>
    <x v="0"/>
    <x v="23"/>
    <n v="2"/>
    <n v="1057"/>
    <x v="707"/>
    <x v="4"/>
    <x v="8"/>
    <n v="1"/>
    <s v="No"/>
  </r>
  <r>
    <n v="710"/>
    <x v="709"/>
    <d v="2025-12-10T00:00:00"/>
    <x v="11"/>
    <s v="Sanya Chopra"/>
    <n v="29"/>
    <x v="2"/>
    <x v="1"/>
    <x v="0"/>
    <x v="3"/>
    <x v="2"/>
    <x v="18"/>
    <n v="7"/>
    <n v="5888"/>
    <x v="708"/>
    <x v="0"/>
    <x v="7"/>
    <n v="3"/>
    <s v="No"/>
  </r>
  <r>
    <n v="711"/>
    <x v="710"/>
    <d v="2025-12-11T00:00:00"/>
    <x v="11"/>
    <s v="Vikram Singh"/>
    <n v="40"/>
    <x v="1"/>
    <x v="0"/>
    <x v="0"/>
    <x v="1"/>
    <x v="2"/>
    <x v="9"/>
    <n v="5"/>
    <n v="47842"/>
    <x v="709"/>
    <x v="2"/>
    <x v="6"/>
    <n v="1"/>
    <s v="No"/>
  </r>
  <r>
    <n v="712"/>
    <x v="711"/>
    <d v="2025-12-12T00:00:00"/>
    <x v="11"/>
    <s v="Meera Nair"/>
    <n v="53"/>
    <x v="0"/>
    <x v="0"/>
    <x v="8"/>
    <x v="2"/>
    <x v="2"/>
    <x v="9"/>
    <n v="7"/>
    <n v="8645"/>
    <x v="710"/>
    <x v="0"/>
    <x v="4"/>
    <n v="4"/>
    <s v="No"/>
  </r>
  <r>
    <n v="713"/>
    <x v="712"/>
    <d v="2025-12-13T00:00:00"/>
    <x v="11"/>
    <s v="Meera Singh"/>
    <n v="38"/>
    <x v="1"/>
    <x v="0"/>
    <x v="8"/>
    <x v="1"/>
    <x v="2"/>
    <x v="6"/>
    <n v="8"/>
    <n v="3266"/>
    <x v="711"/>
    <x v="1"/>
    <x v="2"/>
    <n v="1"/>
    <s v="Yes"/>
  </r>
  <r>
    <n v="714"/>
    <x v="713"/>
    <d v="2025-12-14T00:00:00"/>
    <x v="11"/>
    <s v="Aarav Mehta"/>
    <n v="56"/>
    <x v="0"/>
    <x v="0"/>
    <x v="7"/>
    <x v="1"/>
    <x v="1"/>
    <x v="11"/>
    <n v="2"/>
    <n v="2703"/>
    <x v="712"/>
    <x v="1"/>
    <x v="1"/>
    <n v="5"/>
    <s v="Yes"/>
  </r>
  <r>
    <n v="715"/>
    <x v="714"/>
    <d v="2025-12-15T00:00:00"/>
    <x v="11"/>
    <s v="Manish Gupta"/>
    <n v="18"/>
    <x v="2"/>
    <x v="0"/>
    <x v="4"/>
    <x v="3"/>
    <x v="0"/>
    <x v="8"/>
    <n v="7"/>
    <n v="45142"/>
    <x v="713"/>
    <x v="0"/>
    <x v="5"/>
    <n v="3"/>
    <s v="No"/>
  </r>
  <r>
    <n v="716"/>
    <x v="715"/>
    <d v="2025-12-16T00:00:00"/>
    <x v="11"/>
    <s v="Neha Das"/>
    <n v="36"/>
    <x v="1"/>
    <x v="0"/>
    <x v="4"/>
    <x v="3"/>
    <x v="1"/>
    <x v="11"/>
    <n v="3"/>
    <n v="27400"/>
    <x v="714"/>
    <x v="4"/>
    <x v="4"/>
    <n v="5"/>
    <s v="No"/>
  </r>
  <r>
    <n v="717"/>
    <x v="716"/>
    <d v="2025-12-17T00:00:00"/>
    <x v="11"/>
    <s v="Ravi Mehta"/>
    <n v="35"/>
    <x v="1"/>
    <x v="0"/>
    <x v="7"/>
    <x v="1"/>
    <x v="2"/>
    <x v="18"/>
    <n v="5"/>
    <n v="46821"/>
    <x v="715"/>
    <x v="3"/>
    <x v="3"/>
    <n v="5"/>
    <s v="Yes"/>
  </r>
  <r>
    <n v="718"/>
    <x v="717"/>
    <d v="2025-12-18T00:00:00"/>
    <x v="11"/>
    <s v="Sanya Kapoor"/>
    <n v="24"/>
    <x v="2"/>
    <x v="0"/>
    <x v="0"/>
    <x v="1"/>
    <x v="2"/>
    <x v="18"/>
    <n v="5"/>
    <n v="32092"/>
    <x v="716"/>
    <x v="0"/>
    <x v="7"/>
    <n v="2"/>
    <s v="No"/>
  </r>
  <r>
    <n v="719"/>
    <x v="718"/>
    <d v="2025-12-19T00:00:00"/>
    <x v="11"/>
    <s v="Kunal Bhatia"/>
    <n v="35"/>
    <x v="1"/>
    <x v="0"/>
    <x v="8"/>
    <x v="1"/>
    <x v="2"/>
    <x v="14"/>
    <n v="4"/>
    <n v="6185"/>
    <x v="717"/>
    <x v="2"/>
    <x v="4"/>
    <n v="2"/>
    <s v="Yes"/>
  </r>
  <r>
    <n v="720"/>
    <x v="719"/>
    <d v="2025-12-20T00:00:00"/>
    <x v="11"/>
    <s v="Sanya Sharma"/>
    <n v="57"/>
    <x v="0"/>
    <x v="1"/>
    <x v="3"/>
    <x v="3"/>
    <x v="4"/>
    <x v="5"/>
    <n v="6"/>
    <n v="538"/>
    <x v="718"/>
    <x v="1"/>
    <x v="2"/>
    <n v="2"/>
    <s v="No"/>
  </r>
  <r>
    <n v="721"/>
    <x v="720"/>
    <d v="2025-12-21T00:00:00"/>
    <x v="11"/>
    <s v="Aarav Gupta"/>
    <n v="54"/>
    <x v="0"/>
    <x v="0"/>
    <x v="3"/>
    <x v="1"/>
    <x v="2"/>
    <x v="9"/>
    <n v="4"/>
    <n v="6878"/>
    <x v="719"/>
    <x v="1"/>
    <x v="9"/>
    <n v="1"/>
    <s v="Yes"/>
  </r>
  <r>
    <n v="722"/>
    <x v="721"/>
    <d v="2025-12-22T00:00:00"/>
    <x v="11"/>
    <s v="Kavya Agarwal"/>
    <n v="21"/>
    <x v="2"/>
    <x v="0"/>
    <x v="9"/>
    <x v="0"/>
    <x v="4"/>
    <x v="4"/>
    <n v="2"/>
    <n v="309"/>
    <x v="96"/>
    <x v="2"/>
    <x v="0"/>
    <n v="3"/>
    <s v="No"/>
  </r>
  <r>
    <n v="723"/>
    <x v="722"/>
    <d v="2025-12-23T00:00:00"/>
    <x v="11"/>
    <s v="Arjun Roy"/>
    <n v="46"/>
    <x v="1"/>
    <x v="1"/>
    <x v="3"/>
    <x v="3"/>
    <x v="0"/>
    <x v="8"/>
    <n v="2"/>
    <n v="32703"/>
    <x v="720"/>
    <x v="4"/>
    <x v="8"/>
    <n v="2"/>
    <s v="Yes"/>
  </r>
  <r>
    <n v="724"/>
    <x v="723"/>
    <d v="2025-12-24T00:00:00"/>
    <x v="11"/>
    <s v="Ravi Iyer"/>
    <n v="51"/>
    <x v="0"/>
    <x v="0"/>
    <x v="6"/>
    <x v="1"/>
    <x v="2"/>
    <x v="9"/>
    <n v="2"/>
    <n v="12703"/>
    <x v="721"/>
    <x v="3"/>
    <x v="8"/>
    <n v="3"/>
    <s v="No"/>
  </r>
  <r>
    <n v="725"/>
    <x v="724"/>
    <d v="2025-12-25T00:00:00"/>
    <x v="11"/>
    <s v="Ravi Sharma"/>
    <n v="45"/>
    <x v="1"/>
    <x v="1"/>
    <x v="8"/>
    <x v="2"/>
    <x v="0"/>
    <x v="8"/>
    <n v="6"/>
    <n v="9139"/>
    <x v="722"/>
    <x v="0"/>
    <x v="7"/>
    <n v="3"/>
    <s v="No"/>
  </r>
  <r>
    <n v="726"/>
    <x v="725"/>
    <d v="2025-12-26T00:00:00"/>
    <x v="11"/>
    <s v="Vikram Ghosh"/>
    <n v="47"/>
    <x v="1"/>
    <x v="1"/>
    <x v="9"/>
    <x v="3"/>
    <x v="3"/>
    <x v="16"/>
    <n v="4"/>
    <n v="9917"/>
    <x v="723"/>
    <x v="4"/>
    <x v="6"/>
    <n v="2"/>
    <s v="Yes"/>
  </r>
  <r>
    <n v="727"/>
    <x v="726"/>
    <d v="2025-12-27T00:00:00"/>
    <x v="11"/>
    <s v="Aditya Nair"/>
    <n v="39"/>
    <x v="1"/>
    <x v="1"/>
    <x v="9"/>
    <x v="0"/>
    <x v="4"/>
    <x v="5"/>
    <n v="3"/>
    <n v="1156"/>
    <x v="724"/>
    <x v="1"/>
    <x v="4"/>
    <n v="1"/>
    <s v="Yes"/>
  </r>
  <r>
    <n v="728"/>
    <x v="727"/>
    <d v="2025-12-28T00:00:00"/>
    <x v="11"/>
    <s v="Kunal Verma"/>
    <n v="45"/>
    <x v="1"/>
    <x v="1"/>
    <x v="0"/>
    <x v="2"/>
    <x v="0"/>
    <x v="17"/>
    <n v="5"/>
    <n v="39409"/>
    <x v="725"/>
    <x v="2"/>
    <x v="2"/>
    <n v="3"/>
    <s v="Yes"/>
  </r>
  <r>
    <n v="729"/>
    <x v="728"/>
    <d v="2025-12-29T00:00:00"/>
    <x v="11"/>
    <s v="Ravi Bose"/>
    <n v="44"/>
    <x v="1"/>
    <x v="0"/>
    <x v="2"/>
    <x v="0"/>
    <x v="0"/>
    <x v="23"/>
    <n v="5"/>
    <n v="40816"/>
    <x v="726"/>
    <x v="2"/>
    <x v="7"/>
    <n v="1"/>
    <s v="Yes"/>
  </r>
  <r>
    <n v="730"/>
    <x v="729"/>
    <d v="2025-12-30T00:00:00"/>
    <x v="11"/>
    <s v="Aarav Agarwal"/>
    <n v="20"/>
    <x v="2"/>
    <x v="1"/>
    <x v="6"/>
    <x v="3"/>
    <x v="3"/>
    <x v="3"/>
    <n v="10"/>
    <n v="37809"/>
    <x v="727"/>
    <x v="0"/>
    <x v="2"/>
    <n v="2"/>
    <s v="No"/>
  </r>
  <r>
    <n v="731"/>
    <x v="730"/>
    <d v="2025-12-31T00:00:00"/>
    <x v="11"/>
    <s v="Sneha Singh"/>
    <n v="23"/>
    <x v="2"/>
    <x v="1"/>
    <x v="9"/>
    <x v="3"/>
    <x v="0"/>
    <x v="0"/>
    <n v="4"/>
    <n v="49239"/>
    <x v="728"/>
    <x v="0"/>
    <x v="6"/>
    <n v="1"/>
    <s v="Yes"/>
  </r>
  <r>
    <n v="732"/>
    <x v="731"/>
    <d v="2026-01-01T00:00:00"/>
    <x v="0"/>
    <s v="Neha Gupta"/>
    <n v="28"/>
    <x v="2"/>
    <x v="1"/>
    <x v="7"/>
    <x v="0"/>
    <x v="2"/>
    <x v="14"/>
    <n v="4"/>
    <n v="44860"/>
    <x v="729"/>
    <x v="4"/>
    <x v="4"/>
    <n v="5"/>
    <s v="No"/>
  </r>
  <r>
    <n v="733"/>
    <x v="732"/>
    <d v="2026-01-02T00:00:00"/>
    <x v="0"/>
    <s v="Meera Bhatia"/>
    <n v="39"/>
    <x v="1"/>
    <x v="0"/>
    <x v="7"/>
    <x v="0"/>
    <x v="4"/>
    <x v="10"/>
    <n v="6"/>
    <n v="759"/>
    <x v="730"/>
    <x v="0"/>
    <x v="4"/>
    <n v="4"/>
    <s v="No"/>
  </r>
  <r>
    <n v="734"/>
    <x v="733"/>
    <d v="2026-01-03T00:00:00"/>
    <x v="0"/>
    <s v="Pooja Patel"/>
    <n v="46"/>
    <x v="1"/>
    <x v="1"/>
    <x v="5"/>
    <x v="3"/>
    <x v="2"/>
    <x v="6"/>
    <n v="3"/>
    <n v="31506"/>
    <x v="731"/>
    <x v="3"/>
    <x v="7"/>
    <n v="4"/>
    <s v="Yes"/>
  </r>
  <r>
    <n v="735"/>
    <x v="734"/>
    <d v="2026-01-04T00:00:00"/>
    <x v="0"/>
    <s v="Sanya Bose"/>
    <n v="58"/>
    <x v="0"/>
    <x v="0"/>
    <x v="1"/>
    <x v="3"/>
    <x v="4"/>
    <x v="4"/>
    <n v="9"/>
    <n v="515"/>
    <x v="732"/>
    <x v="3"/>
    <x v="8"/>
    <n v="3"/>
    <s v="No"/>
  </r>
  <r>
    <n v="736"/>
    <x v="735"/>
    <d v="2026-01-05T00:00:00"/>
    <x v="0"/>
    <s v="Meera Nair"/>
    <n v="57"/>
    <x v="0"/>
    <x v="1"/>
    <x v="1"/>
    <x v="1"/>
    <x v="1"/>
    <x v="21"/>
    <n v="2"/>
    <n v="22529"/>
    <x v="733"/>
    <x v="4"/>
    <x v="9"/>
    <n v="4"/>
    <s v="No"/>
  </r>
  <r>
    <n v="737"/>
    <x v="736"/>
    <d v="2026-01-06T00:00:00"/>
    <x v="0"/>
    <s v="Ishita Malhotra"/>
    <n v="26"/>
    <x v="2"/>
    <x v="0"/>
    <x v="2"/>
    <x v="3"/>
    <x v="4"/>
    <x v="4"/>
    <n v="3"/>
    <n v="869"/>
    <x v="734"/>
    <x v="0"/>
    <x v="0"/>
    <n v="3"/>
    <s v="No"/>
  </r>
  <r>
    <n v="738"/>
    <x v="737"/>
    <d v="2026-01-07T00:00:00"/>
    <x v="0"/>
    <s v="Aarav Iyer"/>
    <n v="50"/>
    <x v="0"/>
    <x v="1"/>
    <x v="0"/>
    <x v="1"/>
    <x v="3"/>
    <x v="16"/>
    <n v="3"/>
    <n v="43677"/>
    <x v="735"/>
    <x v="1"/>
    <x v="1"/>
    <n v="1"/>
    <s v="No"/>
  </r>
  <r>
    <n v="739"/>
    <x v="738"/>
    <d v="2026-01-08T00:00:00"/>
    <x v="0"/>
    <s v="Meera Das"/>
    <n v="28"/>
    <x v="2"/>
    <x v="1"/>
    <x v="1"/>
    <x v="2"/>
    <x v="3"/>
    <x v="22"/>
    <n v="6"/>
    <n v="31436"/>
    <x v="736"/>
    <x v="4"/>
    <x v="0"/>
    <n v="3"/>
    <s v="Yes"/>
  </r>
  <r>
    <n v="740"/>
    <x v="739"/>
    <d v="2026-01-09T00:00:00"/>
    <x v="0"/>
    <s v="Aarav Gupta"/>
    <n v="28"/>
    <x v="2"/>
    <x v="0"/>
    <x v="9"/>
    <x v="2"/>
    <x v="3"/>
    <x v="16"/>
    <n v="8"/>
    <n v="3141"/>
    <x v="737"/>
    <x v="4"/>
    <x v="7"/>
    <n v="3"/>
    <s v="Yes"/>
  </r>
  <r>
    <n v="741"/>
    <x v="740"/>
    <d v="2026-01-10T00:00:00"/>
    <x v="0"/>
    <s v="Aarav Kapoor"/>
    <n v="20"/>
    <x v="2"/>
    <x v="0"/>
    <x v="4"/>
    <x v="1"/>
    <x v="0"/>
    <x v="17"/>
    <n v="5"/>
    <n v="21379"/>
    <x v="738"/>
    <x v="3"/>
    <x v="0"/>
    <n v="5"/>
    <s v="No"/>
  </r>
  <r>
    <n v="742"/>
    <x v="741"/>
    <d v="2026-01-11T00:00:00"/>
    <x v="0"/>
    <s v="Rohan Agarwal"/>
    <n v="30"/>
    <x v="1"/>
    <x v="1"/>
    <x v="1"/>
    <x v="3"/>
    <x v="4"/>
    <x v="4"/>
    <n v="8"/>
    <n v="1534"/>
    <x v="739"/>
    <x v="2"/>
    <x v="8"/>
    <n v="2"/>
    <s v="Yes"/>
  </r>
  <r>
    <n v="743"/>
    <x v="742"/>
    <d v="2026-01-12T00:00:00"/>
    <x v="0"/>
    <s v="Kunal Jain"/>
    <n v="60"/>
    <x v="0"/>
    <x v="0"/>
    <x v="2"/>
    <x v="1"/>
    <x v="1"/>
    <x v="11"/>
    <n v="8"/>
    <n v="31766"/>
    <x v="740"/>
    <x v="4"/>
    <x v="7"/>
    <n v="4"/>
    <s v="Yes"/>
  </r>
  <r>
    <n v="744"/>
    <x v="743"/>
    <d v="2026-01-13T00:00:00"/>
    <x v="0"/>
    <s v="Meera Nair"/>
    <n v="19"/>
    <x v="2"/>
    <x v="0"/>
    <x v="0"/>
    <x v="1"/>
    <x v="1"/>
    <x v="19"/>
    <n v="9"/>
    <n v="21380"/>
    <x v="741"/>
    <x v="1"/>
    <x v="3"/>
    <n v="4"/>
    <s v="No"/>
  </r>
  <r>
    <n v="745"/>
    <x v="744"/>
    <d v="2026-01-14T00:00:00"/>
    <x v="0"/>
    <s v="Ishita Malhotra"/>
    <n v="45"/>
    <x v="1"/>
    <x v="0"/>
    <x v="0"/>
    <x v="0"/>
    <x v="3"/>
    <x v="24"/>
    <n v="3"/>
    <n v="19417"/>
    <x v="742"/>
    <x v="1"/>
    <x v="2"/>
    <n v="1"/>
    <s v="No"/>
  </r>
  <r>
    <n v="746"/>
    <x v="745"/>
    <d v="2026-01-15T00:00:00"/>
    <x v="0"/>
    <s v="Ishita Agarwal"/>
    <n v="29"/>
    <x v="2"/>
    <x v="0"/>
    <x v="6"/>
    <x v="1"/>
    <x v="1"/>
    <x v="19"/>
    <n v="10"/>
    <n v="2741"/>
    <x v="743"/>
    <x v="2"/>
    <x v="0"/>
    <n v="3"/>
    <s v="No"/>
  </r>
  <r>
    <n v="747"/>
    <x v="746"/>
    <d v="2026-01-16T00:00:00"/>
    <x v="0"/>
    <s v="Sanya Bhatia"/>
    <n v="43"/>
    <x v="1"/>
    <x v="0"/>
    <x v="5"/>
    <x v="3"/>
    <x v="1"/>
    <x v="21"/>
    <n v="4"/>
    <n v="23518"/>
    <x v="744"/>
    <x v="2"/>
    <x v="2"/>
    <n v="4"/>
    <s v="Yes"/>
  </r>
  <r>
    <n v="748"/>
    <x v="747"/>
    <d v="2026-01-17T00:00:00"/>
    <x v="0"/>
    <s v="Aarav Patel"/>
    <n v="26"/>
    <x v="2"/>
    <x v="0"/>
    <x v="6"/>
    <x v="1"/>
    <x v="2"/>
    <x v="9"/>
    <n v="5"/>
    <n v="14061"/>
    <x v="745"/>
    <x v="4"/>
    <x v="4"/>
    <n v="2"/>
    <s v="No"/>
  </r>
  <r>
    <n v="749"/>
    <x v="748"/>
    <d v="2026-01-18T00:00:00"/>
    <x v="0"/>
    <s v="Priya Nair"/>
    <n v="44"/>
    <x v="1"/>
    <x v="0"/>
    <x v="2"/>
    <x v="2"/>
    <x v="1"/>
    <x v="21"/>
    <n v="4"/>
    <n v="38918"/>
    <x v="746"/>
    <x v="4"/>
    <x v="2"/>
    <n v="1"/>
    <s v="Yes"/>
  </r>
  <r>
    <n v="750"/>
    <x v="749"/>
    <d v="2026-01-19T00:00:00"/>
    <x v="0"/>
    <s v="Kunal Roy"/>
    <n v="50"/>
    <x v="0"/>
    <x v="1"/>
    <x v="3"/>
    <x v="0"/>
    <x v="4"/>
    <x v="15"/>
    <n v="2"/>
    <n v="1672"/>
    <x v="747"/>
    <x v="1"/>
    <x v="5"/>
    <n v="4"/>
    <s v="No"/>
  </r>
  <r>
    <n v="751"/>
    <x v="750"/>
    <d v="2026-01-20T00:00:00"/>
    <x v="0"/>
    <s v="Kavya Bhatia"/>
    <n v="28"/>
    <x v="2"/>
    <x v="1"/>
    <x v="2"/>
    <x v="2"/>
    <x v="3"/>
    <x v="12"/>
    <n v="4"/>
    <n v="38969"/>
    <x v="748"/>
    <x v="0"/>
    <x v="8"/>
    <n v="3"/>
    <s v="Yes"/>
  </r>
  <r>
    <n v="752"/>
    <x v="751"/>
    <d v="2026-01-21T00:00:00"/>
    <x v="0"/>
    <s v="Aditya Agarwal"/>
    <n v="51"/>
    <x v="0"/>
    <x v="1"/>
    <x v="0"/>
    <x v="1"/>
    <x v="2"/>
    <x v="2"/>
    <n v="9"/>
    <n v="29393"/>
    <x v="749"/>
    <x v="3"/>
    <x v="5"/>
    <n v="4"/>
    <s v="Yes"/>
  </r>
  <r>
    <n v="753"/>
    <x v="752"/>
    <d v="2026-01-22T00:00:00"/>
    <x v="0"/>
    <s v="Ananya Patel"/>
    <n v="31"/>
    <x v="1"/>
    <x v="1"/>
    <x v="5"/>
    <x v="1"/>
    <x v="2"/>
    <x v="14"/>
    <n v="3"/>
    <n v="19841"/>
    <x v="750"/>
    <x v="4"/>
    <x v="4"/>
    <n v="5"/>
    <s v="Yes"/>
  </r>
  <r>
    <n v="754"/>
    <x v="753"/>
    <d v="2026-01-23T00:00:00"/>
    <x v="0"/>
    <s v="Aditya Kapoor"/>
    <n v="50"/>
    <x v="0"/>
    <x v="0"/>
    <x v="8"/>
    <x v="2"/>
    <x v="3"/>
    <x v="22"/>
    <n v="3"/>
    <n v="25175"/>
    <x v="751"/>
    <x v="3"/>
    <x v="0"/>
    <n v="2"/>
    <s v="No"/>
  </r>
  <r>
    <n v="755"/>
    <x v="754"/>
    <d v="2026-01-24T00:00:00"/>
    <x v="0"/>
    <s v="Rohan Bose"/>
    <n v="44"/>
    <x v="1"/>
    <x v="1"/>
    <x v="3"/>
    <x v="2"/>
    <x v="1"/>
    <x v="1"/>
    <n v="3"/>
    <n v="43195"/>
    <x v="752"/>
    <x v="3"/>
    <x v="0"/>
    <n v="4"/>
    <s v="Yes"/>
  </r>
  <r>
    <n v="756"/>
    <x v="755"/>
    <d v="2026-01-25T00:00:00"/>
    <x v="0"/>
    <s v="Pooja Das"/>
    <n v="58"/>
    <x v="0"/>
    <x v="0"/>
    <x v="0"/>
    <x v="2"/>
    <x v="2"/>
    <x v="14"/>
    <n v="1"/>
    <n v="2638"/>
    <x v="753"/>
    <x v="1"/>
    <x v="8"/>
    <n v="1"/>
    <s v="Yes"/>
  </r>
  <r>
    <n v="757"/>
    <x v="756"/>
    <d v="2026-01-26T00:00:00"/>
    <x v="0"/>
    <s v="Aditya Sen"/>
    <n v="25"/>
    <x v="2"/>
    <x v="0"/>
    <x v="8"/>
    <x v="2"/>
    <x v="0"/>
    <x v="0"/>
    <n v="2"/>
    <n v="49820"/>
    <x v="754"/>
    <x v="0"/>
    <x v="1"/>
    <n v="5"/>
    <s v="Yes"/>
  </r>
  <r>
    <n v="758"/>
    <x v="757"/>
    <d v="2026-01-27T00:00:00"/>
    <x v="0"/>
    <s v="Sanya Agarwal"/>
    <n v="53"/>
    <x v="0"/>
    <x v="1"/>
    <x v="7"/>
    <x v="3"/>
    <x v="2"/>
    <x v="2"/>
    <n v="5"/>
    <n v="21356"/>
    <x v="755"/>
    <x v="1"/>
    <x v="2"/>
    <n v="1"/>
    <s v="No"/>
  </r>
  <r>
    <n v="759"/>
    <x v="758"/>
    <d v="2026-01-28T00:00:00"/>
    <x v="0"/>
    <s v="Kavya Agarwal"/>
    <n v="22"/>
    <x v="2"/>
    <x v="1"/>
    <x v="2"/>
    <x v="2"/>
    <x v="3"/>
    <x v="3"/>
    <n v="4"/>
    <n v="4335"/>
    <x v="756"/>
    <x v="4"/>
    <x v="2"/>
    <n v="3"/>
    <s v="No"/>
  </r>
  <r>
    <n v="760"/>
    <x v="759"/>
    <d v="2026-01-29T00:00:00"/>
    <x v="0"/>
    <s v="Aditya Das"/>
    <n v="45"/>
    <x v="1"/>
    <x v="0"/>
    <x v="7"/>
    <x v="2"/>
    <x v="0"/>
    <x v="0"/>
    <n v="2"/>
    <n v="12106"/>
    <x v="757"/>
    <x v="2"/>
    <x v="3"/>
    <n v="4"/>
    <s v="No"/>
  </r>
  <r>
    <n v="761"/>
    <x v="760"/>
    <d v="2026-01-30T00:00:00"/>
    <x v="0"/>
    <s v="Pooja Nair"/>
    <n v="26"/>
    <x v="2"/>
    <x v="0"/>
    <x v="6"/>
    <x v="2"/>
    <x v="3"/>
    <x v="24"/>
    <n v="7"/>
    <n v="46202"/>
    <x v="758"/>
    <x v="2"/>
    <x v="8"/>
    <n v="5"/>
    <s v="Yes"/>
  </r>
  <r>
    <n v="762"/>
    <x v="761"/>
    <d v="2026-01-31T00:00:00"/>
    <x v="0"/>
    <s v="Aarav Nair"/>
    <n v="31"/>
    <x v="1"/>
    <x v="1"/>
    <x v="2"/>
    <x v="0"/>
    <x v="1"/>
    <x v="11"/>
    <n v="1"/>
    <n v="16238"/>
    <x v="759"/>
    <x v="3"/>
    <x v="2"/>
    <n v="4"/>
    <s v="Yes"/>
  </r>
  <r>
    <n v="763"/>
    <x v="762"/>
    <d v="2026-02-01T00:00:00"/>
    <x v="1"/>
    <s v="Sanya Bhatia"/>
    <n v="33"/>
    <x v="1"/>
    <x v="0"/>
    <x v="7"/>
    <x v="2"/>
    <x v="3"/>
    <x v="12"/>
    <n v="1"/>
    <n v="5948"/>
    <x v="760"/>
    <x v="1"/>
    <x v="2"/>
    <n v="2"/>
    <s v="No"/>
  </r>
  <r>
    <n v="764"/>
    <x v="763"/>
    <d v="2026-02-02T00:00:00"/>
    <x v="1"/>
    <s v="Aditya Jain"/>
    <n v="45"/>
    <x v="1"/>
    <x v="0"/>
    <x v="8"/>
    <x v="0"/>
    <x v="3"/>
    <x v="12"/>
    <n v="3"/>
    <n v="44405"/>
    <x v="761"/>
    <x v="2"/>
    <x v="7"/>
    <n v="2"/>
    <s v="Yes"/>
  </r>
  <r>
    <n v="765"/>
    <x v="764"/>
    <d v="2026-02-03T00:00:00"/>
    <x v="1"/>
    <s v="Ishita Agarwal"/>
    <n v="59"/>
    <x v="0"/>
    <x v="1"/>
    <x v="6"/>
    <x v="3"/>
    <x v="3"/>
    <x v="16"/>
    <n v="10"/>
    <n v="47023"/>
    <x v="762"/>
    <x v="1"/>
    <x v="5"/>
    <n v="5"/>
    <s v="No"/>
  </r>
  <r>
    <n v="766"/>
    <x v="765"/>
    <d v="2026-02-04T00:00:00"/>
    <x v="1"/>
    <s v="Rohan Patel"/>
    <n v="44"/>
    <x v="1"/>
    <x v="1"/>
    <x v="8"/>
    <x v="1"/>
    <x v="3"/>
    <x v="16"/>
    <n v="3"/>
    <n v="2132"/>
    <x v="763"/>
    <x v="0"/>
    <x v="0"/>
    <n v="3"/>
    <s v="Yes"/>
  </r>
  <r>
    <n v="767"/>
    <x v="766"/>
    <d v="2026-02-05T00:00:00"/>
    <x v="1"/>
    <s v="Vikram Mehta"/>
    <n v="54"/>
    <x v="0"/>
    <x v="0"/>
    <x v="7"/>
    <x v="1"/>
    <x v="3"/>
    <x v="24"/>
    <n v="7"/>
    <n v="14755"/>
    <x v="764"/>
    <x v="2"/>
    <x v="4"/>
    <n v="1"/>
    <s v="No"/>
  </r>
  <r>
    <n v="768"/>
    <x v="767"/>
    <d v="2026-02-06T00:00:00"/>
    <x v="1"/>
    <s v="Neha Reddy"/>
    <n v="41"/>
    <x v="1"/>
    <x v="1"/>
    <x v="1"/>
    <x v="0"/>
    <x v="3"/>
    <x v="16"/>
    <n v="3"/>
    <n v="22149"/>
    <x v="765"/>
    <x v="4"/>
    <x v="5"/>
    <n v="1"/>
    <s v="No"/>
  </r>
  <r>
    <n v="769"/>
    <x v="768"/>
    <d v="2026-02-07T00:00:00"/>
    <x v="1"/>
    <s v="Ravi Patel"/>
    <n v="44"/>
    <x v="1"/>
    <x v="1"/>
    <x v="5"/>
    <x v="3"/>
    <x v="2"/>
    <x v="18"/>
    <n v="1"/>
    <n v="48422"/>
    <x v="766"/>
    <x v="1"/>
    <x v="8"/>
    <n v="2"/>
    <s v="No"/>
  </r>
  <r>
    <n v="770"/>
    <x v="769"/>
    <d v="2026-02-08T00:00:00"/>
    <x v="1"/>
    <s v="Divya Sen"/>
    <n v="43"/>
    <x v="1"/>
    <x v="1"/>
    <x v="2"/>
    <x v="3"/>
    <x v="1"/>
    <x v="1"/>
    <n v="5"/>
    <n v="38030"/>
    <x v="767"/>
    <x v="3"/>
    <x v="4"/>
    <n v="4"/>
    <s v="Yes"/>
  </r>
  <r>
    <n v="771"/>
    <x v="770"/>
    <d v="2026-02-09T00:00:00"/>
    <x v="1"/>
    <s v="Raj Das"/>
    <n v="41"/>
    <x v="1"/>
    <x v="0"/>
    <x v="6"/>
    <x v="0"/>
    <x v="1"/>
    <x v="21"/>
    <n v="8"/>
    <n v="18014"/>
    <x v="768"/>
    <x v="0"/>
    <x v="8"/>
    <n v="4"/>
    <s v="Yes"/>
  </r>
  <r>
    <n v="772"/>
    <x v="771"/>
    <d v="2026-02-10T00:00:00"/>
    <x v="1"/>
    <s v="Sneha Patel"/>
    <n v="56"/>
    <x v="0"/>
    <x v="1"/>
    <x v="6"/>
    <x v="3"/>
    <x v="0"/>
    <x v="23"/>
    <n v="9"/>
    <n v="237"/>
    <x v="769"/>
    <x v="2"/>
    <x v="3"/>
    <n v="4"/>
    <s v="Yes"/>
  </r>
  <r>
    <n v="773"/>
    <x v="772"/>
    <d v="2026-02-11T00:00:00"/>
    <x v="1"/>
    <s v="Rohan Sen"/>
    <n v="60"/>
    <x v="0"/>
    <x v="1"/>
    <x v="3"/>
    <x v="0"/>
    <x v="0"/>
    <x v="23"/>
    <n v="7"/>
    <n v="42573"/>
    <x v="770"/>
    <x v="3"/>
    <x v="4"/>
    <n v="1"/>
    <s v="No"/>
  </r>
  <r>
    <n v="774"/>
    <x v="773"/>
    <d v="2026-02-12T00:00:00"/>
    <x v="1"/>
    <s v="Priya Sen"/>
    <n v="57"/>
    <x v="0"/>
    <x v="0"/>
    <x v="3"/>
    <x v="0"/>
    <x v="4"/>
    <x v="10"/>
    <n v="9"/>
    <n v="1700"/>
    <x v="771"/>
    <x v="4"/>
    <x v="1"/>
    <n v="2"/>
    <s v="No"/>
  </r>
  <r>
    <n v="775"/>
    <x v="774"/>
    <d v="2026-02-13T00:00:00"/>
    <x v="1"/>
    <s v="Kunal Chopra"/>
    <n v="46"/>
    <x v="1"/>
    <x v="1"/>
    <x v="7"/>
    <x v="3"/>
    <x v="3"/>
    <x v="12"/>
    <n v="2"/>
    <n v="49021"/>
    <x v="772"/>
    <x v="1"/>
    <x v="5"/>
    <n v="3"/>
    <s v="No"/>
  </r>
  <r>
    <n v="776"/>
    <x v="775"/>
    <d v="2026-02-14T00:00:00"/>
    <x v="1"/>
    <s v="Divya Agarwal"/>
    <n v="33"/>
    <x v="1"/>
    <x v="1"/>
    <x v="0"/>
    <x v="2"/>
    <x v="2"/>
    <x v="9"/>
    <n v="6"/>
    <n v="15965"/>
    <x v="773"/>
    <x v="2"/>
    <x v="2"/>
    <n v="2"/>
    <s v="Yes"/>
  </r>
  <r>
    <n v="777"/>
    <x v="776"/>
    <d v="2026-02-15T00:00:00"/>
    <x v="1"/>
    <s v="Divya Ghosh"/>
    <n v="38"/>
    <x v="1"/>
    <x v="0"/>
    <x v="0"/>
    <x v="3"/>
    <x v="3"/>
    <x v="3"/>
    <n v="1"/>
    <n v="26309"/>
    <x v="774"/>
    <x v="3"/>
    <x v="4"/>
    <n v="1"/>
    <s v="Yes"/>
  </r>
  <r>
    <n v="778"/>
    <x v="777"/>
    <d v="2026-02-16T00:00:00"/>
    <x v="1"/>
    <s v="Aditya Mehta"/>
    <n v="36"/>
    <x v="1"/>
    <x v="0"/>
    <x v="5"/>
    <x v="3"/>
    <x v="0"/>
    <x v="13"/>
    <n v="4"/>
    <n v="46101"/>
    <x v="775"/>
    <x v="3"/>
    <x v="4"/>
    <n v="4"/>
    <s v="No"/>
  </r>
  <r>
    <n v="779"/>
    <x v="778"/>
    <d v="2026-02-17T00:00:00"/>
    <x v="1"/>
    <s v="Ravi Das"/>
    <n v="48"/>
    <x v="1"/>
    <x v="0"/>
    <x v="3"/>
    <x v="3"/>
    <x v="4"/>
    <x v="7"/>
    <n v="3"/>
    <n v="725"/>
    <x v="375"/>
    <x v="0"/>
    <x v="8"/>
    <n v="3"/>
    <s v="No"/>
  </r>
  <r>
    <n v="780"/>
    <x v="779"/>
    <d v="2026-02-18T00:00:00"/>
    <x v="1"/>
    <s v="Sneha Nair"/>
    <n v="34"/>
    <x v="1"/>
    <x v="1"/>
    <x v="3"/>
    <x v="2"/>
    <x v="2"/>
    <x v="6"/>
    <n v="10"/>
    <n v="31607"/>
    <x v="776"/>
    <x v="2"/>
    <x v="2"/>
    <n v="5"/>
    <s v="No"/>
  </r>
  <r>
    <n v="781"/>
    <x v="780"/>
    <d v="2026-02-19T00:00:00"/>
    <x v="1"/>
    <s v="Priya Jain"/>
    <n v="33"/>
    <x v="1"/>
    <x v="0"/>
    <x v="7"/>
    <x v="2"/>
    <x v="0"/>
    <x v="8"/>
    <n v="10"/>
    <n v="36332"/>
    <x v="777"/>
    <x v="1"/>
    <x v="3"/>
    <n v="2"/>
    <s v="No"/>
  </r>
  <r>
    <n v="782"/>
    <x v="781"/>
    <d v="2026-02-20T00:00:00"/>
    <x v="1"/>
    <s v="Tanvi Agarwal"/>
    <n v="24"/>
    <x v="2"/>
    <x v="1"/>
    <x v="8"/>
    <x v="1"/>
    <x v="1"/>
    <x v="11"/>
    <n v="3"/>
    <n v="39583"/>
    <x v="778"/>
    <x v="0"/>
    <x v="7"/>
    <n v="3"/>
    <s v="Yes"/>
  </r>
  <r>
    <n v="783"/>
    <x v="782"/>
    <d v="2026-02-21T00:00:00"/>
    <x v="1"/>
    <s v="Aarav Bhatia"/>
    <n v="32"/>
    <x v="1"/>
    <x v="1"/>
    <x v="9"/>
    <x v="0"/>
    <x v="3"/>
    <x v="3"/>
    <n v="7"/>
    <n v="1696"/>
    <x v="779"/>
    <x v="1"/>
    <x v="9"/>
    <n v="2"/>
    <s v="Yes"/>
  </r>
  <r>
    <n v="784"/>
    <x v="783"/>
    <d v="2026-02-22T00:00:00"/>
    <x v="1"/>
    <s v="Priya Jain"/>
    <n v="35"/>
    <x v="1"/>
    <x v="1"/>
    <x v="8"/>
    <x v="1"/>
    <x v="2"/>
    <x v="9"/>
    <n v="2"/>
    <n v="38898"/>
    <x v="780"/>
    <x v="0"/>
    <x v="1"/>
    <n v="1"/>
    <s v="Yes"/>
  </r>
  <r>
    <n v="785"/>
    <x v="784"/>
    <d v="2026-02-23T00:00:00"/>
    <x v="1"/>
    <s v="Arjun Das"/>
    <n v="55"/>
    <x v="0"/>
    <x v="1"/>
    <x v="3"/>
    <x v="1"/>
    <x v="0"/>
    <x v="0"/>
    <n v="5"/>
    <n v="20844"/>
    <x v="781"/>
    <x v="0"/>
    <x v="3"/>
    <n v="3"/>
    <s v="No"/>
  </r>
  <r>
    <n v="786"/>
    <x v="785"/>
    <d v="2026-02-24T00:00:00"/>
    <x v="1"/>
    <s v="Aditya Kapoor"/>
    <n v="30"/>
    <x v="1"/>
    <x v="1"/>
    <x v="0"/>
    <x v="3"/>
    <x v="3"/>
    <x v="24"/>
    <n v="8"/>
    <n v="44182"/>
    <x v="782"/>
    <x v="3"/>
    <x v="6"/>
    <n v="2"/>
    <s v="Yes"/>
  </r>
  <r>
    <n v="787"/>
    <x v="786"/>
    <d v="2026-02-25T00:00:00"/>
    <x v="1"/>
    <s v="Rohan Reddy"/>
    <n v="39"/>
    <x v="1"/>
    <x v="0"/>
    <x v="6"/>
    <x v="1"/>
    <x v="4"/>
    <x v="7"/>
    <n v="2"/>
    <n v="822"/>
    <x v="87"/>
    <x v="4"/>
    <x v="2"/>
    <n v="1"/>
    <s v="Yes"/>
  </r>
  <r>
    <n v="788"/>
    <x v="787"/>
    <d v="2026-02-26T00:00:00"/>
    <x v="1"/>
    <s v="Kavya Patel"/>
    <n v="48"/>
    <x v="1"/>
    <x v="0"/>
    <x v="6"/>
    <x v="0"/>
    <x v="1"/>
    <x v="20"/>
    <n v="4"/>
    <n v="21885"/>
    <x v="783"/>
    <x v="1"/>
    <x v="1"/>
    <n v="5"/>
    <s v="Yes"/>
  </r>
  <r>
    <n v="789"/>
    <x v="788"/>
    <d v="2026-02-27T00:00:00"/>
    <x v="1"/>
    <s v="Neha Kapoor"/>
    <n v="45"/>
    <x v="1"/>
    <x v="0"/>
    <x v="0"/>
    <x v="0"/>
    <x v="3"/>
    <x v="12"/>
    <n v="8"/>
    <n v="23889"/>
    <x v="784"/>
    <x v="2"/>
    <x v="1"/>
    <n v="2"/>
    <s v="Yes"/>
  </r>
  <r>
    <n v="790"/>
    <x v="789"/>
    <d v="2026-02-28T00:00:00"/>
    <x v="1"/>
    <s v="Arjun Chopra"/>
    <n v="55"/>
    <x v="0"/>
    <x v="1"/>
    <x v="1"/>
    <x v="1"/>
    <x v="1"/>
    <x v="1"/>
    <n v="7"/>
    <n v="16772"/>
    <x v="785"/>
    <x v="1"/>
    <x v="5"/>
    <n v="5"/>
    <s v="No"/>
  </r>
  <r>
    <n v="791"/>
    <x v="790"/>
    <d v="2026-03-01T00:00:00"/>
    <x v="2"/>
    <s v="Sneha Kapoor"/>
    <n v="27"/>
    <x v="2"/>
    <x v="1"/>
    <x v="2"/>
    <x v="1"/>
    <x v="0"/>
    <x v="8"/>
    <n v="10"/>
    <n v="16581"/>
    <x v="786"/>
    <x v="3"/>
    <x v="4"/>
    <n v="4"/>
    <s v="No"/>
  </r>
  <r>
    <n v="792"/>
    <x v="791"/>
    <d v="2026-03-02T00:00:00"/>
    <x v="2"/>
    <s v="Manish Mehta"/>
    <n v="51"/>
    <x v="0"/>
    <x v="1"/>
    <x v="0"/>
    <x v="2"/>
    <x v="1"/>
    <x v="19"/>
    <n v="8"/>
    <n v="19886"/>
    <x v="787"/>
    <x v="4"/>
    <x v="4"/>
    <n v="3"/>
    <s v="Yes"/>
  </r>
  <r>
    <n v="793"/>
    <x v="792"/>
    <d v="2026-03-03T00:00:00"/>
    <x v="2"/>
    <s v="Kunal Malhotra"/>
    <n v="34"/>
    <x v="1"/>
    <x v="0"/>
    <x v="9"/>
    <x v="3"/>
    <x v="3"/>
    <x v="24"/>
    <n v="7"/>
    <n v="49677"/>
    <x v="788"/>
    <x v="4"/>
    <x v="2"/>
    <n v="5"/>
    <s v="No"/>
  </r>
  <r>
    <n v="794"/>
    <x v="793"/>
    <d v="2026-03-04T00:00:00"/>
    <x v="2"/>
    <s v="Arjun Singh"/>
    <n v="30"/>
    <x v="1"/>
    <x v="0"/>
    <x v="8"/>
    <x v="2"/>
    <x v="0"/>
    <x v="23"/>
    <n v="5"/>
    <n v="34905"/>
    <x v="789"/>
    <x v="2"/>
    <x v="8"/>
    <n v="5"/>
    <s v="No"/>
  </r>
  <r>
    <n v="795"/>
    <x v="794"/>
    <d v="2026-03-05T00:00:00"/>
    <x v="2"/>
    <s v="Arjun Roy"/>
    <n v="56"/>
    <x v="0"/>
    <x v="1"/>
    <x v="0"/>
    <x v="2"/>
    <x v="4"/>
    <x v="5"/>
    <n v="9"/>
    <n v="241"/>
    <x v="790"/>
    <x v="0"/>
    <x v="5"/>
    <n v="3"/>
    <s v="Yes"/>
  </r>
  <r>
    <n v="796"/>
    <x v="795"/>
    <d v="2026-03-06T00:00:00"/>
    <x v="2"/>
    <s v="Ishita Nair"/>
    <n v="21"/>
    <x v="2"/>
    <x v="1"/>
    <x v="7"/>
    <x v="3"/>
    <x v="0"/>
    <x v="8"/>
    <n v="9"/>
    <n v="46308"/>
    <x v="791"/>
    <x v="1"/>
    <x v="0"/>
    <n v="3"/>
    <s v="No"/>
  </r>
  <r>
    <n v="797"/>
    <x v="796"/>
    <d v="2026-03-07T00:00:00"/>
    <x v="2"/>
    <s v="Tanvi Kapoor"/>
    <n v="41"/>
    <x v="1"/>
    <x v="1"/>
    <x v="8"/>
    <x v="2"/>
    <x v="4"/>
    <x v="15"/>
    <n v="10"/>
    <n v="1278"/>
    <x v="14"/>
    <x v="0"/>
    <x v="3"/>
    <n v="4"/>
    <s v="Yes"/>
  </r>
  <r>
    <n v="798"/>
    <x v="797"/>
    <d v="2026-03-08T00:00:00"/>
    <x v="2"/>
    <s v="Arjun Reddy"/>
    <n v="55"/>
    <x v="0"/>
    <x v="1"/>
    <x v="1"/>
    <x v="3"/>
    <x v="1"/>
    <x v="1"/>
    <n v="9"/>
    <n v="26797"/>
    <x v="792"/>
    <x v="1"/>
    <x v="3"/>
    <n v="4"/>
    <s v="No"/>
  </r>
  <r>
    <n v="799"/>
    <x v="798"/>
    <d v="2026-03-09T00:00:00"/>
    <x v="2"/>
    <s v="Aarav Sharma"/>
    <n v="39"/>
    <x v="1"/>
    <x v="0"/>
    <x v="0"/>
    <x v="1"/>
    <x v="4"/>
    <x v="7"/>
    <n v="3"/>
    <n v="468"/>
    <x v="793"/>
    <x v="2"/>
    <x v="3"/>
    <n v="1"/>
    <s v="Yes"/>
  </r>
  <r>
    <n v="800"/>
    <x v="799"/>
    <d v="2026-03-10T00:00:00"/>
    <x v="2"/>
    <s v="Ravi Jain"/>
    <n v="18"/>
    <x v="2"/>
    <x v="0"/>
    <x v="5"/>
    <x v="0"/>
    <x v="3"/>
    <x v="24"/>
    <n v="9"/>
    <n v="18988"/>
    <x v="794"/>
    <x v="3"/>
    <x v="5"/>
    <n v="4"/>
    <s v="Yes"/>
  </r>
  <r>
    <n v="801"/>
    <x v="800"/>
    <d v="2026-03-11T00:00:00"/>
    <x v="2"/>
    <s v="Ananya Ghosh"/>
    <n v="54"/>
    <x v="0"/>
    <x v="0"/>
    <x v="7"/>
    <x v="1"/>
    <x v="3"/>
    <x v="22"/>
    <n v="7"/>
    <n v="17461"/>
    <x v="795"/>
    <x v="0"/>
    <x v="9"/>
    <n v="4"/>
    <s v="No"/>
  </r>
  <r>
    <n v="802"/>
    <x v="801"/>
    <d v="2026-03-12T00:00:00"/>
    <x v="2"/>
    <s v="Sanya Mehta"/>
    <n v="37"/>
    <x v="1"/>
    <x v="0"/>
    <x v="3"/>
    <x v="3"/>
    <x v="2"/>
    <x v="14"/>
    <n v="3"/>
    <n v="1109"/>
    <x v="796"/>
    <x v="4"/>
    <x v="0"/>
    <n v="1"/>
    <s v="Yes"/>
  </r>
  <r>
    <n v="803"/>
    <x v="802"/>
    <d v="2026-03-13T00:00:00"/>
    <x v="2"/>
    <s v="Aditya Das"/>
    <n v="22"/>
    <x v="2"/>
    <x v="0"/>
    <x v="5"/>
    <x v="1"/>
    <x v="2"/>
    <x v="14"/>
    <n v="8"/>
    <n v="25435"/>
    <x v="797"/>
    <x v="4"/>
    <x v="8"/>
    <n v="1"/>
    <s v="No"/>
  </r>
  <r>
    <n v="804"/>
    <x v="803"/>
    <d v="2026-03-14T00:00:00"/>
    <x v="2"/>
    <s v="Sanya Verma"/>
    <n v="45"/>
    <x v="1"/>
    <x v="1"/>
    <x v="5"/>
    <x v="1"/>
    <x v="0"/>
    <x v="13"/>
    <n v="3"/>
    <n v="33722"/>
    <x v="798"/>
    <x v="2"/>
    <x v="7"/>
    <n v="4"/>
    <s v="No"/>
  </r>
  <r>
    <n v="805"/>
    <x v="804"/>
    <d v="2026-03-15T00:00:00"/>
    <x v="2"/>
    <s v="Kunal Sharma"/>
    <n v="38"/>
    <x v="1"/>
    <x v="1"/>
    <x v="4"/>
    <x v="0"/>
    <x v="0"/>
    <x v="8"/>
    <n v="8"/>
    <n v="22135"/>
    <x v="799"/>
    <x v="1"/>
    <x v="0"/>
    <n v="2"/>
    <s v="No"/>
  </r>
  <r>
    <n v="806"/>
    <x v="805"/>
    <d v="2026-03-16T00:00:00"/>
    <x v="2"/>
    <s v="Pooja Gupta"/>
    <n v="23"/>
    <x v="2"/>
    <x v="1"/>
    <x v="2"/>
    <x v="2"/>
    <x v="4"/>
    <x v="4"/>
    <n v="6"/>
    <n v="383"/>
    <x v="800"/>
    <x v="1"/>
    <x v="3"/>
    <n v="2"/>
    <s v="No"/>
  </r>
  <r>
    <n v="807"/>
    <x v="806"/>
    <d v="2026-03-17T00:00:00"/>
    <x v="2"/>
    <s v="Vikram Bhatia"/>
    <n v="26"/>
    <x v="2"/>
    <x v="0"/>
    <x v="6"/>
    <x v="1"/>
    <x v="0"/>
    <x v="23"/>
    <n v="3"/>
    <n v="47463"/>
    <x v="801"/>
    <x v="0"/>
    <x v="1"/>
    <n v="4"/>
    <s v="No"/>
  </r>
  <r>
    <n v="808"/>
    <x v="807"/>
    <d v="2026-03-18T00:00:00"/>
    <x v="2"/>
    <s v="Kunal Malhotra"/>
    <n v="40"/>
    <x v="1"/>
    <x v="0"/>
    <x v="9"/>
    <x v="0"/>
    <x v="3"/>
    <x v="22"/>
    <n v="2"/>
    <n v="48730"/>
    <x v="802"/>
    <x v="0"/>
    <x v="4"/>
    <n v="2"/>
    <s v="No"/>
  </r>
  <r>
    <n v="809"/>
    <x v="808"/>
    <d v="2026-03-19T00:00:00"/>
    <x v="2"/>
    <s v="Meera Kapoor"/>
    <n v="43"/>
    <x v="1"/>
    <x v="0"/>
    <x v="1"/>
    <x v="1"/>
    <x v="0"/>
    <x v="8"/>
    <n v="7"/>
    <n v="44588"/>
    <x v="803"/>
    <x v="4"/>
    <x v="9"/>
    <n v="5"/>
    <s v="No"/>
  </r>
  <r>
    <n v="810"/>
    <x v="809"/>
    <d v="2026-03-20T00:00:00"/>
    <x v="2"/>
    <s v="Vikram Reddy"/>
    <n v="27"/>
    <x v="2"/>
    <x v="0"/>
    <x v="7"/>
    <x v="1"/>
    <x v="3"/>
    <x v="24"/>
    <n v="2"/>
    <n v="1833"/>
    <x v="804"/>
    <x v="0"/>
    <x v="8"/>
    <n v="2"/>
    <s v="No"/>
  </r>
  <r>
    <n v="811"/>
    <x v="810"/>
    <d v="2026-03-21T00:00:00"/>
    <x v="2"/>
    <s v="Arjun Iyer"/>
    <n v="47"/>
    <x v="1"/>
    <x v="1"/>
    <x v="9"/>
    <x v="0"/>
    <x v="1"/>
    <x v="11"/>
    <n v="10"/>
    <n v="43650"/>
    <x v="805"/>
    <x v="3"/>
    <x v="0"/>
    <n v="4"/>
    <s v="Yes"/>
  </r>
  <r>
    <n v="812"/>
    <x v="811"/>
    <d v="2026-03-22T00:00:00"/>
    <x v="2"/>
    <s v="Vikram Patel"/>
    <n v="51"/>
    <x v="0"/>
    <x v="1"/>
    <x v="3"/>
    <x v="1"/>
    <x v="1"/>
    <x v="20"/>
    <n v="7"/>
    <n v="9942"/>
    <x v="806"/>
    <x v="2"/>
    <x v="9"/>
    <n v="1"/>
    <s v="Yes"/>
  </r>
  <r>
    <n v="813"/>
    <x v="812"/>
    <d v="2026-03-23T00:00:00"/>
    <x v="2"/>
    <s v="Ishita Bose"/>
    <n v="33"/>
    <x v="1"/>
    <x v="1"/>
    <x v="5"/>
    <x v="3"/>
    <x v="1"/>
    <x v="19"/>
    <n v="7"/>
    <n v="17015"/>
    <x v="807"/>
    <x v="2"/>
    <x v="6"/>
    <n v="1"/>
    <s v="No"/>
  </r>
  <r>
    <n v="814"/>
    <x v="813"/>
    <d v="2026-03-24T00:00:00"/>
    <x v="2"/>
    <s v="Ananya Iyer"/>
    <n v="19"/>
    <x v="2"/>
    <x v="1"/>
    <x v="9"/>
    <x v="2"/>
    <x v="0"/>
    <x v="8"/>
    <n v="5"/>
    <n v="42007"/>
    <x v="808"/>
    <x v="2"/>
    <x v="9"/>
    <n v="4"/>
    <s v="Yes"/>
  </r>
  <r>
    <n v="815"/>
    <x v="814"/>
    <d v="2026-03-25T00:00:00"/>
    <x v="2"/>
    <s v="Neha Reddy"/>
    <n v="33"/>
    <x v="1"/>
    <x v="1"/>
    <x v="6"/>
    <x v="0"/>
    <x v="4"/>
    <x v="4"/>
    <n v="6"/>
    <n v="1421"/>
    <x v="809"/>
    <x v="0"/>
    <x v="2"/>
    <n v="5"/>
    <s v="Yes"/>
  </r>
  <r>
    <n v="816"/>
    <x v="815"/>
    <d v="2026-03-26T00:00:00"/>
    <x v="2"/>
    <s v="Ananya Sen"/>
    <n v="46"/>
    <x v="1"/>
    <x v="1"/>
    <x v="1"/>
    <x v="0"/>
    <x v="1"/>
    <x v="20"/>
    <n v="8"/>
    <n v="3635"/>
    <x v="810"/>
    <x v="2"/>
    <x v="1"/>
    <n v="1"/>
    <s v="No"/>
  </r>
  <r>
    <n v="817"/>
    <x v="816"/>
    <d v="2026-03-27T00:00:00"/>
    <x v="2"/>
    <s v="Ananya Iyer"/>
    <n v="22"/>
    <x v="2"/>
    <x v="0"/>
    <x v="4"/>
    <x v="3"/>
    <x v="1"/>
    <x v="20"/>
    <n v="8"/>
    <n v="19999"/>
    <x v="811"/>
    <x v="4"/>
    <x v="2"/>
    <n v="4"/>
    <s v="Yes"/>
  </r>
  <r>
    <n v="818"/>
    <x v="817"/>
    <d v="2026-03-28T00:00:00"/>
    <x v="2"/>
    <s v="Pooja Bose"/>
    <n v="57"/>
    <x v="0"/>
    <x v="0"/>
    <x v="7"/>
    <x v="1"/>
    <x v="3"/>
    <x v="16"/>
    <n v="5"/>
    <n v="30937"/>
    <x v="812"/>
    <x v="4"/>
    <x v="3"/>
    <n v="5"/>
    <s v="No"/>
  </r>
  <r>
    <n v="819"/>
    <x v="818"/>
    <d v="2026-03-29T00:00:00"/>
    <x v="2"/>
    <s v="Neha Ghosh"/>
    <n v="21"/>
    <x v="2"/>
    <x v="0"/>
    <x v="3"/>
    <x v="2"/>
    <x v="2"/>
    <x v="9"/>
    <n v="7"/>
    <n v="15477"/>
    <x v="813"/>
    <x v="2"/>
    <x v="9"/>
    <n v="1"/>
    <s v="No"/>
  </r>
  <r>
    <n v="820"/>
    <x v="819"/>
    <d v="2026-03-30T00:00:00"/>
    <x v="2"/>
    <s v="Priya Ghosh"/>
    <n v="35"/>
    <x v="1"/>
    <x v="0"/>
    <x v="2"/>
    <x v="3"/>
    <x v="1"/>
    <x v="1"/>
    <n v="8"/>
    <n v="412"/>
    <x v="814"/>
    <x v="1"/>
    <x v="5"/>
    <n v="2"/>
    <s v="Yes"/>
  </r>
  <r>
    <n v="821"/>
    <x v="820"/>
    <d v="2026-03-31T00:00:00"/>
    <x v="2"/>
    <s v="Pooja Verma"/>
    <n v="40"/>
    <x v="1"/>
    <x v="0"/>
    <x v="9"/>
    <x v="1"/>
    <x v="0"/>
    <x v="13"/>
    <n v="3"/>
    <n v="27220"/>
    <x v="815"/>
    <x v="3"/>
    <x v="4"/>
    <n v="3"/>
    <s v="No"/>
  </r>
  <r>
    <n v="822"/>
    <x v="821"/>
    <d v="2026-04-01T00:00:00"/>
    <x v="3"/>
    <s v="Kunal Chopra"/>
    <n v="23"/>
    <x v="2"/>
    <x v="0"/>
    <x v="8"/>
    <x v="0"/>
    <x v="2"/>
    <x v="18"/>
    <n v="3"/>
    <n v="25103"/>
    <x v="816"/>
    <x v="4"/>
    <x v="2"/>
    <n v="3"/>
    <s v="No"/>
  </r>
  <r>
    <n v="823"/>
    <x v="822"/>
    <d v="2026-04-02T00:00:00"/>
    <x v="3"/>
    <s v="Meera Sen"/>
    <n v="58"/>
    <x v="0"/>
    <x v="1"/>
    <x v="9"/>
    <x v="3"/>
    <x v="4"/>
    <x v="7"/>
    <n v="2"/>
    <n v="844"/>
    <x v="817"/>
    <x v="2"/>
    <x v="2"/>
    <n v="5"/>
    <s v="No"/>
  </r>
  <r>
    <n v="824"/>
    <x v="823"/>
    <d v="2026-04-03T00:00:00"/>
    <x v="3"/>
    <s v="Divya Verma"/>
    <n v="47"/>
    <x v="1"/>
    <x v="1"/>
    <x v="4"/>
    <x v="0"/>
    <x v="1"/>
    <x v="19"/>
    <n v="3"/>
    <n v="21107"/>
    <x v="818"/>
    <x v="4"/>
    <x v="9"/>
    <n v="5"/>
    <s v="No"/>
  </r>
  <r>
    <n v="825"/>
    <x v="824"/>
    <d v="2026-04-04T00:00:00"/>
    <x v="3"/>
    <s v="Manish Mehta"/>
    <n v="49"/>
    <x v="1"/>
    <x v="1"/>
    <x v="3"/>
    <x v="2"/>
    <x v="2"/>
    <x v="2"/>
    <n v="5"/>
    <n v="43124"/>
    <x v="819"/>
    <x v="1"/>
    <x v="1"/>
    <n v="5"/>
    <s v="Yes"/>
  </r>
  <r>
    <n v="826"/>
    <x v="825"/>
    <d v="2026-04-05T00:00:00"/>
    <x v="3"/>
    <s v="Ishita Roy"/>
    <n v="59"/>
    <x v="0"/>
    <x v="1"/>
    <x v="1"/>
    <x v="3"/>
    <x v="2"/>
    <x v="18"/>
    <n v="9"/>
    <n v="31681"/>
    <x v="820"/>
    <x v="2"/>
    <x v="9"/>
    <n v="4"/>
    <s v="No"/>
  </r>
  <r>
    <n v="827"/>
    <x v="826"/>
    <d v="2026-04-06T00:00:00"/>
    <x v="3"/>
    <s v="Tanvi Reddy"/>
    <n v="32"/>
    <x v="1"/>
    <x v="0"/>
    <x v="0"/>
    <x v="1"/>
    <x v="2"/>
    <x v="2"/>
    <n v="10"/>
    <n v="6225"/>
    <x v="821"/>
    <x v="3"/>
    <x v="9"/>
    <n v="2"/>
    <s v="Yes"/>
  </r>
  <r>
    <n v="828"/>
    <x v="827"/>
    <d v="2026-04-07T00:00:00"/>
    <x v="3"/>
    <s v="Sneha Malhotra"/>
    <n v="41"/>
    <x v="1"/>
    <x v="1"/>
    <x v="1"/>
    <x v="3"/>
    <x v="0"/>
    <x v="17"/>
    <n v="3"/>
    <n v="34158"/>
    <x v="822"/>
    <x v="1"/>
    <x v="3"/>
    <n v="4"/>
    <s v="No"/>
  </r>
  <r>
    <n v="829"/>
    <x v="828"/>
    <d v="2026-04-08T00:00:00"/>
    <x v="3"/>
    <s v="Tanvi Jain"/>
    <n v="49"/>
    <x v="1"/>
    <x v="0"/>
    <x v="3"/>
    <x v="0"/>
    <x v="4"/>
    <x v="4"/>
    <n v="5"/>
    <n v="1569"/>
    <x v="823"/>
    <x v="3"/>
    <x v="9"/>
    <n v="4"/>
    <s v="No"/>
  </r>
  <r>
    <n v="830"/>
    <x v="829"/>
    <d v="2026-04-09T00:00:00"/>
    <x v="3"/>
    <s v="Ishita Das"/>
    <n v="45"/>
    <x v="1"/>
    <x v="1"/>
    <x v="8"/>
    <x v="2"/>
    <x v="3"/>
    <x v="12"/>
    <n v="9"/>
    <n v="5354"/>
    <x v="824"/>
    <x v="0"/>
    <x v="6"/>
    <n v="3"/>
    <s v="Yes"/>
  </r>
  <r>
    <n v="831"/>
    <x v="830"/>
    <d v="2026-04-10T00:00:00"/>
    <x v="3"/>
    <s v="Neha Malhotra"/>
    <n v="20"/>
    <x v="2"/>
    <x v="1"/>
    <x v="5"/>
    <x v="3"/>
    <x v="2"/>
    <x v="18"/>
    <n v="6"/>
    <n v="45283"/>
    <x v="825"/>
    <x v="2"/>
    <x v="2"/>
    <n v="3"/>
    <s v="Yes"/>
  </r>
  <r>
    <n v="832"/>
    <x v="831"/>
    <d v="2026-04-11T00:00:00"/>
    <x v="3"/>
    <s v="Vikram Sharma"/>
    <n v="25"/>
    <x v="2"/>
    <x v="1"/>
    <x v="8"/>
    <x v="1"/>
    <x v="3"/>
    <x v="12"/>
    <n v="3"/>
    <n v="14850"/>
    <x v="826"/>
    <x v="4"/>
    <x v="6"/>
    <n v="3"/>
    <s v="Yes"/>
  </r>
  <r>
    <n v="833"/>
    <x v="832"/>
    <d v="2026-04-12T00:00:00"/>
    <x v="3"/>
    <s v="Tanvi Iyer"/>
    <n v="20"/>
    <x v="2"/>
    <x v="0"/>
    <x v="1"/>
    <x v="3"/>
    <x v="2"/>
    <x v="14"/>
    <n v="2"/>
    <n v="8886"/>
    <x v="827"/>
    <x v="2"/>
    <x v="6"/>
    <n v="1"/>
    <s v="Yes"/>
  </r>
  <r>
    <n v="834"/>
    <x v="833"/>
    <d v="2026-04-13T00:00:00"/>
    <x v="3"/>
    <s v="Manish Patel"/>
    <n v="42"/>
    <x v="1"/>
    <x v="0"/>
    <x v="9"/>
    <x v="1"/>
    <x v="3"/>
    <x v="12"/>
    <n v="7"/>
    <n v="12373"/>
    <x v="828"/>
    <x v="0"/>
    <x v="5"/>
    <n v="2"/>
    <s v="Yes"/>
  </r>
  <r>
    <n v="835"/>
    <x v="834"/>
    <d v="2026-04-14T00:00:00"/>
    <x v="3"/>
    <s v="Ishita Bose"/>
    <n v="49"/>
    <x v="1"/>
    <x v="0"/>
    <x v="9"/>
    <x v="0"/>
    <x v="2"/>
    <x v="6"/>
    <n v="6"/>
    <n v="4350"/>
    <x v="829"/>
    <x v="2"/>
    <x v="2"/>
    <n v="2"/>
    <s v="No"/>
  </r>
  <r>
    <n v="836"/>
    <x v="835"/>
    <d v="2026-04-15T00:00:00"/>
    <x v="3"/>
    <s v="Kunal Iyer"/>
    <n v="26"/>
    <x v="2"/>
    <x v="1"/>
    <x v="3"/>
    <x v="3"/>
    <x v="3"/>
    <x v="12"/>
    <n v="7"/>
    <n v="40111"/>
    <x v="830"/>
    <x v="4"/>
    <x v="6"/>
    <n v="4"/>
    <s v="No"/>
  </r>
  <r>
    <n v="837"/>
    <x v="836"/>
    <d v="2026-04-16T00:00:00"/>
    <x v="3"/>
    <s v="Neha Chopra"/>
    <n v="42"/>
    <x v="1"/>
    <x v="0"/>
    <x v="4"/>
    <x v="0"/>
    <x v="2"/>
    <x v="18"/>
    <n v="4"/>
    <n v="40869"/>
    <x v="831"/>
    <x v="0"/>
    <x v="7"/>
    <n v="3"/>
    <s v="Yes"/>
  </r>
  <r>
    <n v="838"/>
    <x v="837"/>
    <d v="2026-04-17T00:00:00"/>
    <x v="3"/>
    <s v="Tanvi Chopra"/>
    <n v="54"/>
    <x v="0"/>
    <x v="0"/>
    <x v="8"/>
    <x v="3"/>
    <x v="1"/>
    <x v="21"/>
    <n v="10"/>
    <n v="1992"/>
    <x v="832"/>
    <x v="0"/>
    <x v="0"/>
    <n v="3"/>
    <s v="Yes"/>
  </r>
  <r>
    <n v="839"/>
    <x v="838"/>
    <d v="2026-04-18T00:00:00"/>
    <x v="3"/>
    <s v="Ishita Kapoor"/>
    <n v="56"/>
    <x v="0"/>
    <x v="0"/>
    <x v="8"/>
    <x v="0"/>
    <x v="3"/>
    <x v="3"/>
    <n v="4"/>
    <n v="35292"/>
    <x v="833"/>
    <x v="1"/>
    <x v="4"/>
    <n v="3"/>
    <s v="Yes"/>
  </r>
  <r>
    <n v="840"/>
    <x v="839"/>
    <d v="2026-04-19T00:00:00"/>
    <x v="3"/>
    <s v="Manish Ghosh"/>
    <n v="31"/>
    <x v="1"/>
    <x v="1"/>
    <x v="0"/>
    <x v="1"/>
    <x v="4"/>
    <x v="15"/>
    <n v="9"/>
    <n v="1288"/>
    <x v="834"/>
    <x v="4"/>
    <x v="2"/>
    <n v="2"/>
    <s v="No"/>
  </r>
  <r>
    <n v="841"/>
    <x v="840"/>
    <d v="2026-04-20T00:00:00"/>
    <x v="3"/>
    <s v="Vikram Patel"/>
    <n v="40"/>
    <x v="1"/>
    <x v="0"/>
    <x v="4"/>
    <x v="2"/>
    <x v="1"/>
    <x v="21"/>
    <n v="7"/>
    <n v="30430"/>
    <x v="835"/>
    <x v="3"/>
    <x v="5"/>
    <n v="1"/>
    <s v="No"/>
  </r>
  <r>
    <n v="842"/>
    <x v="841"/>
    <d v="2026-04-21T00:00:00"/>
    <x v="3"/>
    <s v="Meera Kapoor"/>
    <n v="35"/>
    <x v="1"/>
    <x v="1"/>
    <x v="8"/>
    <x v="3"/>
    <x v="2"/>
    <x v="2"/>
    <n v="7"/>
    <n v="6538"/>
    <x v="836"/>
    <x v="1"/>
    <x v="3"/>
    <n v="5"/>
    <s v="No"/>
  </r>
  <r>
    <n v="843"/>
    <x v="842"/>
    <d v="2026-04-22T00:00:00"/>
    <x v="3"/>
    <s v="Ravi Verma"/>
    <n v="19"/>
    <x v="2"/>
    <x v="1"/>
    <x v="6"/>
    <x v="3"/>
    <x v="3"/>
    <x v="22"/>
    <n v="9"/>
    <n v="26938"/>
    <x v="837"/>
    <x v="3"/>
    <x v="7"/>
    <n v="1"/>
    <s v="No"/>
  </r>
  <r>
    <n v="844"/>
    <x v="843"/>
    <d v="2026-04-23T00:00:00"/>
    <x v="3"/>
    <s v="Pooja Gupta"/>
    <n v="23"/>
    <x v="2"/>
    <x v="1"/>
    <x v="2"/>
    <x v="2"/>
    <x v="1"/>
    <x v="21"/>
    <n v="9"/>
    <n v="31395"/>
    <x v="838"/>
    <x v="3"/>
    <x v="1"/>
    <n v="2"/>
    <s v="Yes"/>
  </r>
  <r>
    <n v="845"/>
    <x v="844"/>
    <d v="2026-04-24T00:00:00"/>
    <x v="3"/>
    <s v="Sanya Ghosh"/>
    <n v="54"/>
    <x v="0"/>
    <x v="1"/>
    <x v="2"/>
    <x v="3"/>
    <x v="2"/>
    <x v="9"/>
    <n v="6"/>
    <n v="3579"/>
    <x v="839"/>
    <x v="3"/>
    <x v="2"/>
    <n v="3"/>
    <s v="No"/>
  </r>
  <r>
    <n v="846"/>
    <x v="845"/>
    <d v="2026-04-25T00:00:00"/>
    <x v="3"/>
    <s v="Ravi Agarwal"/>
    <n v="19"/>
    <x v="2"/>
    <x v="0"/>
    <x v="3"/>
    <x v="2"/>
    <x v="4"/>
    <x v="15"/>
    <n v="2"/>
    <n v="1705"/>
    <x v="840"/>
    <x v="0"/>
    <x v="0"/>
    <n v="2"/>
    <s v="No"/>
  </r>
  <r>
    <n v="847"/>
    <x v="846"/>
    <d v="2026-04-26T00:00:00"/>
    <x v="3"/>
    <s v="Ishita Chopra"/>
    <n v="30"/>
    <x v="1"/>
    <x v="0"/>
    <x v="2"/>
    <x v="0"/>
    <x v="3"/>
    <x v="24"/>
    <n v="7"/>
    <n v="47720"/>
    <x v="841"/>
    <x v="4"/>
    <x v="5"/>
    <n v="5"/>
    <s v="No"/>
  </r>
  <r>
    <n v="848"/>
    <x v="847"/>
    <d v="2026-04-27T00:00:00"/>
    <x v="3"/>
    <s v="Manish Malhotra"/>
    <n v="56"/>
    <x v="0"/>
    <x v="0"/>
    <x v="6"/>
    <x v="3"/>
    <x v="0"/>
    <x v="23"/>
    <n v="10"/>
    <n v="43624"/>
    <x v="842"/>
    <x v="4"/>
    <x v="1"/>
    <n v="1"/>
    <s v="Yes"/>
  </r>
  <r>
    <n v="849"/>
    <x v="848"/>
    <d v="2026-04-28T00:00:00"/>
    <x v="3"/>
    <s v="Aditya Ghosh"/>
    <n v="43"/>
    <x v="1"/>
    <x v="1"/>
    <x v="6"/>
    <x v="3"/>
    <x v="3"/>
    <x v="22"/>
    <n v="5"/>
    <n v="30184"/>
    <x v="843"/>
    <x v="4"/>
    <x v="9"/>
    <n v="2"/>
    <s v="No"/>
  </r>
  <r>
    <n v="850"/>
    <x v="849"/>
    <d v="2026-04-29T00:00:00"/>
    <x v="3"/>
    <s v="Ravi Gupta"/>
    <n v="27"/>
    <x v="2"/>
    <x v="1"/>
    <x v="8"/>
    <x v="1"/>
    <x v="2"/>
    <x v="18"/>
    <n v="10"/>
    <n v="6881"/>
    <x v="844"/>
    <x v="4"/>
    <x v="2"/>
    <n v="4"/>
    <s v="Yes"/>
  </r>
  <r>
    <n v="851"/>
    <x v="850"/>
    <d v="2026-04-30T00:00:00"/>
    <x v="3"/>
    <s v="Manish Gupta"/>
    <n v="20"/>
    <x v="2"/>
    <x v="1"/>
    <x v="8"/>
    <x v="2"/>
    <x v="1"/>
    <x v="11"/>
    <n v="9"/>
    <n v="5114"/>
    <x v="845"/>
    <x v="4"/>
    <x v="8"/>
    <n v="5"/>
    <s v="No"/>
  </r>
  <r>
    <n v="852"/>
    <x v="851"/>
    <d v="2026-05-01T00:00:00"/>
    <x v="4"/>
    <s v="Ananya Patel"/>
    <n v="24"/>
    <x v="2"/>
    <x v="1"/>
    <x v="4"/>
    <x v="2"/>
    <x v="3"/>
    <x v="12"/>
    <n v="5"/>
    <n v="5341"/>
    <x v="846"/>
    <x v="4"/>
    <x v="4"/>
    <n v="5"/>
    <s v="Yes"/>
  </r>
  <r>
    <n v="853"/>
    <x v="852"/>
    <d v="2026-05-02T00:00:00"/>
    <x v="4"/>
    <s v="Tanvi Malhotra"/>
    <n v="23"/>
    <x v="2"/>
    <x v="0"/>
    <x v="4"/>
    <x v="3"/>
    <x v="4"/>
    <x v="15"/>
    <n v="8"/>
    <n v="1748"/>
    <x v="847"/>
    <x v="4"/>
    <x v="1"/>
    <n v="5"/>
    <s v="No"/>
  </r>
  <r>
    <n v="854"/>
    <x v="853"/>
    <d v="2026-05-03T00:00:00"/>
    <x v="4"/>
    <s v="Aditya Mehta"/>
    <n v="60"/>
    <x v="0"/>
    <x v="0"/>
    <x v="7"/>
    <x v="1"/>
    <x v="2"/>
    <x v="6"/>
    <n v="3"/>
    <n v="21063"/>
    <x v="848"/>
    <x v="4"/>
    <x v="2"/>
    <n v="3"/>
    <s v="No"/>
  </r>
  <r>
    <n v="855"/>
    <x v="854"/>
    <d v="2026-05-04T00:00:00"/>
    <x v="4"/>
    <s v="Rohan Bhatia"/>
    <n v="58"/>
    <x v="0"/>
    <x v="1"/>
    <x v="1"/>
    <x v="1"/>
    <x v="0"/>
    <x v="8"/>
    <n v="7"/>
    <n v="17891"/>
    <x v="849"/>
    <x v="2"/>
    <x v="7"/>
    <n v="3"/>
    <s v="Yes"/>
  </r>
  <r>
    <n v="856"/>
    <x v="855"/>
    <d v="2026-05-05T00:00:00"/>
    <x v="4"/>
    <s v="Vikram Kapoor"/>
    <n v="47"/>
    <x v="1"/>
    <x v="0"/>
    <x v="5"/>
    <x v="0"/>
    <x v="1"/>
    <x v="19"/>
    <n v="6"/>
    <n v="31568"/>
    <x v="850"/>
    <x v="0"/>
    <x v="4"/>
    <n v="3"/>
    <s v="No"/>
  </r>
  <r>
    <n v="857"/>
    <x v="856"/>
    <d v="2026-05-06T00:00:00"/>
    <x v="4"/>
    <s v="Priya Kapoor"/>
    <n v="52"/>
    <x v="0"/>
    <x v="0"/>
    <x v="7"/>
    <x v="1"/>
    <x v="4"/>
    <x v="5"/>
    <n v="6"/>
    <n v="1023"/>
    <x v="851"/>
    <x v="1"/>
    <x v="6"/>
    <n v="1"/>
    <s v="Yes"/>
  </r>
  <r>
    <n v="858"/>
    <x v="857"/>
    <d v="2026-05-07T00:00:00"/>
    <x v="4"/>
    <s v="Rohan Chopra"/>
    <n v="48"/>
    <x v="1"/>
    <x v="1"/>
    <x v="0"/>
    <x v="3"/>
    <x v="2"/>
    <x v="14"/>
    <n v="4"/>
    <n v="11823"/>
    <x v="852"/>
    <x v="2"/>
    <x v="1"/>
    <n v="2"/>
    <s v="Yes"/>
  </r>
  <r>
    <n v="859"/>
    <x v="858"/>
    <d v="2026-05-08T00:00:00"/>
    <x v="4"/>
    <s v="Aditya Mehta"/>
    <n v="38"/>
    <x v="1"/>
    <x v="0"/>
    <x v="4"/>
    <x v="3"/>
    <x v="4"/>
    <x v="7"/>
    <n v="10"/>
    <n v="1435"/>
    <x v="853"/>
    <x v="2"/>
    <x v="2"/>
    <n v="4"/>
    <s v="No"/>
  </r>
  <r>
    <n v="860"/>
    <x v="859"/>
    <d v="2026-05-09T00:00:00"/>
    <x v="4"/>
    <s v="Ishita Agarwal"/>
    <n v="54"/>
    <x v="0"/>
    <x v="1"/>
    <x v="9"/>
    <x v="1"/>
    <x v="1"/>
    <x v="11"/>
    <n v="5"/>
    <n v="11705"/>
    <x v="854"/>
    <x v="0"/>
    <x v="1"/>
    <n v="1"/>
    <s v="Yes"/>
  </r>
  <r>
    <n v="861"/>
    <x v="860"/>
    <d v="2026-05-10T00:00:00"/>
    <x v="4"/>
    <s v="Tanvi Ghosh"/>
    <n v="36"/>
    <x v="1"/>
    <x v="0"/>
    <x v="8"/>
    <x v="1"/>
    <x v="3"/>
    <x v="24"/>
    <n v="6"/>
    <n v="48198"/>
    <x v="855"/>
    <x v="0"/>
    <x v="6"/>
    <n v="5"/>
    <s v="Yes"/>
  </r>
  <r>
    <n v="862"/>
    <x v="861"/>
    <d v="2026-05-11T00:00:00"/>
    <x v="4"/>
    <s v="Priya Patel"/>
    <n v="57"/>
    <x v="0"/>
    <x v="1"/>
    <x v="8"/>
    <x v="1"/>
    <x v="0"/>
    <x v="17"/>
    <n v="3"/>
    <n v="26498"/>
    <x v="856"/>
    <x v="3"/>
    <x v="6"/>
    <n v="2"/>
    <s v="Yes"/>
  </r>
  <r>
    <n v="863"/>
    <x v="862"/>
    <d v="2026-05-12T00:00:00"/>
    <x v="4"/>
    <s v="Kavya Roy"/>
    <n v="23"/>
    <x v="2"/>
    <x v="0"/>
    <x v="2"/>
    <x v="0"/>
    <x v="1"/>
    <x v="19"/>
    <n v="6"/>
    <n v="6588"/>
    <x v="857"/>
    <x v="2"/>
    <x v="6"/>
    <n v="2"/>
    <s v="Yes"/>
  </r>
  <r>
    <n v="864"/>
    <x v="863"/>
    <d v="2026-05-13T00:00:00"/>
    <x v="4"/>
    <s v="Sneha Iyer"/>
    <n v="35"/>
    <x v="1"/>
    <x v="1"/>
    <x v="9"/>
    <x v="3"/>
    <x v="1"/>
    <x v="1"/>
    <n v="4"/>
    <n v="18078"/>
    <x v="858"/>
    <x v="4"/>
    <x v="4"/>
    <n v="3"/>
    <s v="No"/>
  </r>
  <r>
    <n v="865"/>
    <x v="864"/>
    <d v="2026-05-14T00:00:00"/>
    <x v="4"/>
    <s v="Rohan Ghosh"/>
    <n v="52"/>
    <x v="0"/>
    <x v="0"/>
    <x v="0"/>
    <x v="1"/>
    <x v="0"/>
    <x v="0"/>
    <n v="9"/>
    <n v="14895"/>
    <x v="859"/>
    <x v="3"/>
    <x v="7"/>
    <n v="2"/>
    <s v="Yes"/>
  </r>
  <r>
    <n v="866"/>
    <x v="865"/>
    <d v="2026-05-15T00:00:00"/>
    <x v="4"/>
    <s v="Sanya Singh"/>
    <n v="28"/>
    <x v="2"/>
    <x v="1"/>
    <x v="8"/>
    <x v="1"/>
    <x v="2"/>
    <x v="9"/>
    <n v="6"/>
    <n v="35083"/>
    <x v="860"/>
    <x v="1"/>
    <x v="9"/>
    <n v="5"/>
    <s v="Yes"/>
  </r>
  <r>
    <n v="867"/>
    <x v="866"/>
    <d v="2026-05-16T00:00:00"/>
    <x v="4"/>
    <s v="Priya Das"/>
    <n v="56"/>
    <x v="0"/>
    <x v="1"/>
    <x v="3"/>
    <x v="1"/>
    <x v="2"/>
    <x v="14"/>
    <n v="5"/>
    <n v="19504"/>
    <x v="861"/>
    <x v="0"/>
    <x v="0"/>
    <n v="4"/>
    <s v="No"/>
  </r>
  <r>
    <n v="868"/>
    <x v="867"/>
    <d v="2026-05-17T00:00:00"/>
    <x v="4"/>
    <s v="Manish Iyer"/>
    <n v="33"/>
    <x v="1"/>
    <x v="1"/>
    <x v="5"/>
    <x v="3"/>
    <x v="3"/>
    <x v="16"/>
    <n v="8"/>
    <n v="17266"/>
    <x v="862"/>
    <x v="1"/>
    <x v="4"/>
    <n v="2"/>
    <s v="Yes"/>
  </r>
  <r>
    <n v="869"/>
    <x v="868"/>
    <d v="2026-05-18T00:00:00"/>
    <x v="4"/>
    <s v="Kunal Roy"/>
    <n v="30"/>
    <x v="1"/>
    <x v="1"/>
    <x v="3"/>
    <x v="3"/>
    <x v="3"/>
    <x v="12"/>
    <n v="1"/>
    <n v="19991"/>
    <x v="863"/>
    <x v="2"/>
    <x v="6"/>
    <n v="4"/>
    <s v="No"/>
  </r>
  <r>
    <n v="870"/>
    <x v="869"/>
    <d v="2026-05-19T00:00:00"/>
    <x v="4"/>
    <s v="Kavya Sharma"/>
    <n v="44"/>
    <x v="1"/>
    <x v="0"/>
    <x v="9"/>
    <x v="2"/>
    <x v="3"/>
    <x v="16"/>
    <n v="6"/>
    <n v="31934"/>
    <x v="864"/>
    <x v="2"/>
    <x v="4"/>
    <n v="3"/>
    <s v="Yes"/>
  </r>
  <r>
    <n v="871"/>
    <x v="870"/>
    <d v="2026-05-20T00:00:00"/>
    <x v="4"/>
    <s v="Kunal Malhotra"/>
    <n v="30"/>
    <x v="1"/>
    <x v="0"/>
    <x v="3"/>
    <x v="0"/>
    <x v="1"/>
    <x v="20"/>
    <n v="1"/>
    <n v="8165"/>
    <x v="865"/>
    <x v="0"/>
    <x v="8"/>
    <n v="3"/>
    <s v="Yes"/>
  </r>
  <r>
    <n v="872"/>
    <x v="871"/>
    <d v="2026-05-21T00:00:00"/>
    <x v="4"/>
    <s v="Sneha Nair"/>
    <n v="35"/>
    <x v="1"/>
    <x v="0"/>
    <x v="4"/>
    <x v="0"/>
    <x v="0"/>
    <x v="13"/>
    <n v="4"/>
    <n v="25302"/>
    <x v="866"/>
    <x v="4"/>
    <x v="7"/>
    <n v="1"/>
    <s v="No"/>
  </r>
  <r>
    <n v="873"/>
    <x v="872"/>
    <d v="2026-05-22T00:00:00"/>
    <x v="4"/>
    <s v="Divya Verma"/>
    <n v="36"/>
    <x v="1"/>
    <x v="1"/>
    <x v="6"/>
    <x v="3"/>
    <x v="1"/>
    <x v="11"/>
    <n v="3"/>
    <n v="28870"/>
    <x v="867"/>
    <x v="3"/>
    <x v="7"/>
    <n v="4"/>
    <s v="No"/>
  </r>
  <r>
    <n v="874"/>
    <x v="873"/>
    <d v="2026-05-23T00:00:00"/>
    <x v="4"/>
    <s v="Vikram Nair"/>
    <n v="43"/>
    <x v="1"/>
    <x v="0"/>
    <x v="6"/>
    <x v="3"/>
    <x v="1"/>
    <x v="21"/>
    <n v="8"/>
    <n v="5149"/>
    <x v="868"/>
    <x v="3"/>
    <x v="2"/>
    <n v="5"/>
    <s v="No"/>
  </r>
  <r>
    <n v="875"/>
    <x v="874"/>
    <d v="2026-05-24T00:00:00"/>
    <x v="4"/>
    <s v="Kunal Das"/>
    <n v="49"/>
    <x v="1"/>
    <x v="0"/>
    <x v="1"/>
    <x v="3"/>
    <x v="2"/>
    <x v="6"/>
    <n v="10"/>
    <n v="11136"/>
    <x v="869"/>
    <x v="1"/>
    <x v="4"/>
    <n v="3"/>
    <s v="Yes"/>
  </r>
  <r>
    <n v="876"/>
    <x v="875"/>
    <d v="2026-05-25T00:00:00"/>
    <x v="4"/>
    <s v="Neha Patel"/>
    <n v="54"/>
    <x v="0"/>
    <x v="1"/>
    <x v="2"/>
    <x v="2"/>
    <x v="0"/>
    <x v="13"/>
    <n v="4"/>
    <n v="12830"/>
    <x v="870"/>
    <x v="4"/>
    <x v="1"/>
    <n v="4"/>
    <s v="Yes"/>
  </r>
  <r>
    <n v="877"/>
    <x v="876"/>
    <d v="2026-05-26T00:00:00"/>
    <x v="4"/>
    <s v="Ananya Agarwal"/>
    <n v="28"/>
    <x v="2"/>
    <x v="0"/>
    <x v="2"/>
    <x v="3"/>
    <x v="1"/>
    <x v="1"/>
    <n v="6"/>
    <n v="11690"/>
    <x v="871"/>
    <x v="1"/>
    <x v="8"/>
    <n v="1"/>
    <s v="No"/>
  </r>
  <r>
    <n v="878"/>
    <x v="877"/>
    <d v="2026-05-27T00:00:00"/>
    <x v="4"/>
    <s v="Tanvi Singh"/>
    <n v="51"/>
    <x v="0"/>
    <x v="1"/>
    <x v="0"/>
    <x v="1"/>
    <x v="2"/>
    <x v="2"/>
    <n v="7"/>
    <n v="22614"/>
    <x v="872"/>
    <x v="1"/>
    <x v="4"/>
    <n v="2"/>
    <s v="No"/>
  </r>
  <r>
    <n v="879"/>
    <x v="878"/>
    <d v="2026-05-28T00:00:00"/>
    <x v="4"/>
    <s v="Vikram Sharma"/>
    <n v="23"/>
    <x v="2"/>
    <x v="1"/>
    <x v="5"/>
    <x v="1"/>
    <x v="4"/>
    <x v="15"/>
    <n v="2"/>
    <n v="1227"/>
    <x v="873"/>
    <x v="4"/>
    <x v="6"/>
    <n v="4"/>
    <s v="No"/>
  </r>
  <r>
    <n v="880"/>
    <x v="879"/>
    <d v="2026-05-29T00:00:00"/>
    <x v="4"/>
    <s v="Raj Verma"/>
    <n v="20"/>
    <x v="2"/>
    <x v="1"/>
    <x v="2"/>
    <x v="3"/>
    <x v="1"/>
    <x v="19"/>
    <n v="8"/>
    <n v="9955"/>
    <x v="874"/>
    <x v="3"/>
    <x v="1"/>
    <n v="4"/>
    <s v="No"/>
  </r>
  <r>
    <n v="881"/>
    <x v="880"/>
    <d v="2026-05-30T00:00:00"/>
    <x v="4"/>
    <s v="Aditya Gupta"/>
    <n v="28"/>
    <x v="2"/>
    <x v="1"/>
    <x v="2"/>
    <x v="1"/>
    <x v="3"/>
    <x v="12"/>
    <n v="6"/>
    <n v="45952"/>
    <x v="875"/>
    <x v="2"/>
    <x v="4"/>
    <n v="4"/>
    <s v="Yes"/>
  </r>
  <r>
    <n v="882"/>
    <x v="881"/>
    <d v="2026-05-31T00:00:00"/>
    <x v="4"/>
    <s v="Neha Gupta"/>
    <n v="56"/>
    <x v="0"/>
    <x v="0"/>
    <x v="4"/>
    <x v="0"/>
    <x v="3"/>
    <x v="3"/>
    <n v="4"/>
    <n v="10340"/>
    <x v="876"/>
    <x v="0"/>
    <x v="7"/>
    <n v="1"/>
    <s v="No"/>
  </r>
  <r>
    <n v="883"/>
    <x v="882"/>
    <d v="2026-06-01T00:00:00"/>
    <x v="5"/>
    <s v="Aarav Sharma"/>
    <n v="42"/>
    <x v="1"/>
    <x v="0"/>
    <x v="3"/>
    <x v="1"/>
    <x v="1"/>
    <x v="21"/>
    <n v="7"/>
    <n v="23218"/>
    <x v="877"/>
    <x v="2"/>
    <x v="2"/>
    <n v="1"/>
    <s v="No"/>
  </r>
  <r>
    <n v="884"/>
    <x v="883"/>
    <d v="2026-06-02T00:00:00"/>
    <x v="5"/>
    <s v="Ravi Jain"/>
    <n v="21"/>
    <x v="2"/>
    <x v="1"/>
    <x v="4"/>
    <x v="3"/>
    <x v="2"/>
    <x v="6"/>
    <n v="6"/>
    <n v="44218"/>
    <x v="878"/>
    <x v="3"/>
    <x v="2"/>
    <n v="2"/>
    <s v="Yes"/>
  </r>
  <r>
    <n v="885"/>
    <x v="884"/>
    <d v="2026-06-03T00:00:00"/>
    <x v="5"/>
    <s v="Tanvi Kapoor"/>
    <n v="23"/>
    <x v="2"/>
    <x v="0"/>
    <x v="8"/>
    <x v="2"/>
    <x v="1"/>
    <x v="1"/>
    <n v="8"/>
    <n v="29689"/>
    <x v="879"/>
    <x v="2"/>
    <x v="1"/>
    <n v="3"/>
    <s v="Yes"/>
  </r>
  <r>
    <n v="886"/>
    <x v="885"/>
    <d v="2026-06-04T00:00:00"/>
    <x v="5"/>
    <s v="Neha Das"/>
    <n v="40"/>
    <x v="1"/>
    <x v="0"/>
    <x v="3"/>
    <x v="2"/>
    <x v="1"/>
    <x v="20"/>
    <n v="8"/>
    <n v="46082"/>
    <x v="880"/>
    <x v="4"/>
    <x v="4"/>
    <n v="5"/>
    <s v="Yes"/>
  </r>
  <r>
    <n v="887"/>
    <x v="886"/>
    <d v="2026-06-05T00:00:00"/>
    <x v="5"/>
    <s v="Tanvi Sen"/>
    <n v="55"/>
    <x v="0"/>
    <x v="0"/>
    <x v="5"/>
    <x v="3"/>
    <x v="1"/>
    <x v="11"/>
    <n v="5"/>
    <n v="32483"/>
    <x v="881"/>
    <x v="4"/>
    <x v="3"/>
    <n v="5"/>
    <s v="No"/>
  </r>
  <r>
    <n v="888"/>
    <x v="887"/>
    <d v="2026-06-06T00:00:00"/>
    <x v="5"/>
    <s v="Sneha Jain"/>
    <n v="22"/>
    <x v="2"/>
    <x v="0"/>
    <x v="1"/>
    <x v="3"/>
    <x v="0"/>
    <x v="23"/>
    <n v="10"/>
    <n v="4578"/>
    <x v="882"/>
    <x v="3"/>
    <x v="2"/>
    <n v="2"/>
    <s v="Yes"/>
  </r>
  <r>
    <n v="889"/>
    <x v="888"/>
    <d v="2026-06-07T00:00:00"/>
    <x v="5"/>
    <s v="Raj Agarwal"/>
    <n v="34"/>
    <x v="1"/>
    <x v="1"/>
    <x v="9"/>
    <x v="2"/>
    <x v="1"/>
    <x v="1"/>
    <n v="7"/>
    <n v="14303"/>
    <x v="883"/>
    <x v="0"/>
    <x v="6"/>
    <n v="5"/>
    <s v="No"/>
  </r>
  <r>
    <n v="890"/>
    <x v="889"/>
    <d v="2026-06-08T00:00:00"/>
    <x v="5"/>
    <s v="Ananya Iyer"/>
    <n v="39"/>
    <x v="1"/>
    <x v="1"/>
    <x v="8"/>
    <x v="3"/>
    <x v="0"/>
    <x v="0"/>
    <n v="7"/>
    <n v="21913"/>
    <x v="884"/>
    <x v="1"/>
    <x v="6"/>
    <n v="5"/>
    <s v="No"/>
  </r>
  <r>
    <n v="891"/>
    <x v="890"/>
    <d v="2026-06-09T00:00:00"/>
    <x v="5"/>
    <s v="Kunal Mehta"/>
    <n v="39"/>
    <x v="1"/>
    <x v="0"/>
    <x v="6"/>
    <x v="1"/>
    <x v="2"/>
    <x v="18"/>
    <n v="10"/>
    <n v="4774"/>
    <x v="885"/>
    <x v="4"/>
    <x v="3"/>
    <n v="4"/>
    <s v="No"/>
  </r>
  <r>
    <n v="892"/>
    <x v="891"/>
    <d v="2026-06-10T00:00:00"/>
    <x v="5"/>
    <s v="Kavya Sen"/>
    <n v="54"/>
    <x v="0"/>
    <x v="0"/>
    <x v="5"/>
    <x v="3"/>
    <x v="2"/>
    <x v="2"/>
    <n v="3"/>
    <n v="30609"/>
    <x v="886"/>
    <x v="0"/>
    <x v="8"/>
    <n v="3"/>
    <s v="No"/>
  </r>
  <r>
    <n v="893"/>
    <x v="892"/>
    <d v="2026-06-11T00:00:00"/>
    <x v="5"/>
    <s v="Meera Patel"/>
    <n v="25"/>
    <x v="2"/>
    <x v="1"/>
    <x v="4"/>
    <x v="3"/>
    <x v="3"/>
    <x v="24"/>
    <n v="2"/>
    <n v="3328"/>
    <x v="887"/>
    <x v="3"/>
    <x v="8"/>
    <n v="3"/>
    <s v="Yes"/>
  </r>
  <r>
    <n v="894"/>
    <x v="893"/>
    <d v="2026-06-12T00:00:00"/>
    <x v="5"/>
    <s v="Neha Verma"/>
    <n v="20"/>
    <x v="2"/>
    <x v="0"/>
    <x v="1"/>
    <x v="1"/>
    <x v="4"/>
    <x v="4"/>
    <n v="8"/>
    <n v="671"/>
    <x v="888"/>
    <x v="4"/>
    <x v="1"/>
    <n v="1"/>
    <s v="Yes"/>
  </r>
  <r>
    <n v="895"/>
    <x v="894"/>
    <d v="2026-06-13T00:00:00"/>
    <x v="5"/>
    <s v="Aarav Agarwal"/>
    <n v="43"/>
    <x v="1"/>
    <x v="1"/>
    <x v="6"/>
    <x v="3"/>
    <x v="3"/>
    <x v="16"/>
    <n v="10"/>
    <n v="7022"/>
    <x v="889"/>
    <x v="0"/>
    <x v="4"/>
    <n v="3"/>
    <s v="Yes"/>
  </r>
  <r>
    <n v="896"/>
    <x v="895"/>
    <d v="2026-06-14T00:00:00"/>
    <x v="5"/>
    <s v="Arjun Patel"/>
    <n v="57"/>
    <x v="0"/>
    <x v="1"/>
    <x v="3"/>
    <x v="1"/>
    <x v="3"/>
    <x v="16"/>
    <n v="7"/>
    <n v="20672"/>
    <x v="890"/>
    <x v="2"/>
    <x v="3"/>
    <n v="4"/>
    <s v="Yes"/>
  </r>
  <r>
    <n v="897"/>
    <x v="896"/>
    <d v="2026-06-15T00:00:00"/>
    <x v="5"/>
    <s v="Meera Nair"/>
    <n v="33"/>
    <x v="1"/>
    <x v="0"/>
    <x v="3"/>
    <x v="1"/>
    <x v="3"/>
    <x v="16"/>
    <n v="10"/>
    <n v="532"/>
    <x v="891"/>
    <x v="0"/>
    <x v="1"/>
    <n v="1"/>
    <s v="No"/>
  </r>
  <r>
    <n v="898"/>
    <x v="897"/>
    <d v="2026-06-16T00:00:00"/>
    <x v="5"/>
    <s v="Sneha Bose"/>
    <n v="50"/>
    <x v="0"/>
    <x v="0"/>
    <x v="2"/>
    <x v="1"/>
    <x v="4"/>
    <x v="10"/>
    <n v="3"/>
    <n v="301"/>
    <x v="892"/>
    <x v="4"/>
    <x v="8"/>
    <n v="4"/>
    <s v="Yes"/>
  </r>
  <r>
    <n v="899"/>
    <x v="898"/>
    <d v="2026-06-17T00:00:00"/>
    <x v="5"/>
    <s v="Rohan Kapoor"/>
    <n v="28"/>
    <x v="2"/>
    <x v="0"/>
    <x v="0"/>
    <x v="2"/>
    <x v="3"/>
    <x v="22"/>
    <n v="6"/>
    <n v="2713"/>
    <x v="893"/>
    <x v="0"/>
    <x v="0"/>
    <n v="5"/>
    <s v="No"/>
  </r>
  <r>
    <n v="900"/>
    <x v="899"/>
    <d v="2026-06-18T00:00:00"/>
    <x v="5"/>
    <s v="Arjun Reddy"/>
    <n v="52"/>
    <x v="0"/>
    <x v="1"/>
    <x v="7"/>
    <x v="1"/>
    <x v="3"/>
    <x v="22"/>
    <n v="7"/>
    <n v="15411"/>
    <x v="894"/>
    <x v="0"/>
    <x v="3"/>
    <n v="4"/>
    <s v="Yes"/>
  </r>
  <r>
    <n v="901"/>
    <x v="900"/>
    <d v="2026-06-19T00:00:00"/>
    <x v="5"/>
    <s v="Manish Mehta"/>
    <n v="45"/>
    <x v="1"/>
    <x v="0"/>
    <x v="4"/>
    <x v="2"/>
    <x v="3"/>
    <x v="16"/>
    <n v="9"/>
    <n v="37494"/>
    <x v="895"/>
    <x v="0"/>
    <x v="1"/>
    <n v="1"/>
    <s v="No"/>
  </r>
  <r>
    <n v="902"/>
    <x v="901"/>
    <d v="2026-06-20T00:00:00"/>
    <x v="5"/>
    <s v="Manish Das"/>
    <n v="36"/>
    <x v="1"/>
    <x v="0"/>
    <x v="3"/>
    <x v="1"/>
    <x v="0"/>
    <x v="13"/>
    <n v="9"/>
    <n v="24176"/>
    <x v="896"/>
    <x v="2"/>
    <x v="5"/>
    <n v="3"/>
    <s v="Yes"/>
  </r>
  <r>
    <n v="903"/>
    <x v="902"/>
    <d v="2026-06-21T00:00:00"/>
    <x v="5"/>
    <s v="Priya Verma"/>
    <n v="38"/>
    <x v="1"/>
    <x v="0"/>
    <x v="0"/>
    <x v="1"/>
    <x v="1"/>
    <x v="1"/>
    <n v="3"/>
    <n v="4683"/>
    <x v="897"/>
    <x v="2"/>
    <x v="9"/>
    <n v="1"/>
    <s v="Yes"/>
  </r>
  <r>
    <n v="904"/>
    <x v="903"/>
    <d v="2026-06-22T00:00:00"/>
    <x v="5"/>
    <s v="Meera Mehta"/>
    <n v="59"/>
    <x v="0"/>
    <x v="0"/>
    <x v="6"/>
    <x v="3"/>
    <x v="0"/>
    <x v="23"/>
    <n v="3"/>
    <n v="24997"/>
    <x v="898"/>
    <x v="1"/>
    <x v="6"/>
    <n v="2"/>
    <s v="Yes"/>
  </r>
  <r>
    <n v="905"/>
    <x v="904"/>
    <d v="2026-06-23T00:00:00"/>
    <x v="5"/>
    <s v="Divya Sharma"/>
    <n v="45"/>
    <x v="1"/>
    <x v="0"/>
    <x v="7"/>
    <x v="0"/>
    <x v="1"/>
    <x v="21"/>
    <n v="4"/>
    <n v="5645"/>
    <x v="899"/>
    <x v="2"/>
    <x v="1"/>
    <n v="4"/>
    <s v="Yes"/>
  </r>
  <r>
    <n v="906"/>
    <x v="905"/>
    <d v="2026-06-24T00:00:00"/>
    <x v="5"/>
    <s v="Ravi Sharma"/>
    <n v="26"/>
    <x v="2"/>
    <x v="1"/>
    <x v="0"/>
    <x v="0"/>
    <x v="1"/>
    <x v="11"/>
    <n v="4"/>
    <n v="29427"/>
    <x v="900"/>
    <x v="1"/>
    <x v="0"/>
    <n v="3"/>
    <s v="Yes"/>
  </r>
  <r>
    <n v="907"/>
    <x v="906"/>
    <d v="2026-06-25T00:00:00"/>
    <x v="5"/>
    <s v="Aarav Verma"/>
    <n v="29"/>
    <x v="2"/>
    <x v="0"/>
    <x v="0"/>
    <x v="1"/>
    <x v="0"/>
    <x v="0"/>
    <n v="2"/>
    <n v="11121"/>
    <x v="901"/>
    <x v="4"/>
    <x v="3"/>
    <n v="4"/>
    <s v="Yes"/>
  </r>
  <r>
    <n v="908"/>
    <x v="907"/>
    <d v="2026-06-26T00:00:00"/>
    <x v="5"/>
    <s v="Ravi Reddy"/>
    <n v="20"/>
    <x v="2"/>
    <x v="1"/>
    <x v="7"/>
    <x v="1"/>
    <x v="2"/>
    <x v="18"/>
    <n v="6"/>
    <n v="15536"/>
    <x v="902"/>
    <x v="3"/>
    <x v="7"/>
    <n v="5"/>
    <s v="No"/>
  </r>
  <r>
    <n v="909"/>
    <x v="908"/>
    <d v="2026-06-27T00:00:00"/>
    <x v="5"/>
    <s v="Aditya Roy"/>
    <n v="20"/>
    <x v="2"/>
    <x v="1"/>
    <x v="5"/>
    <x v="1"/>
    <x v="1"/>
    <x v="21"/>
    <n v="2"/>
    <n v="35625"/>
    <x v="903"/>
    <x v="1"/>
    <x v="8"/>
    <n v="5"/>
    <s v="No"/>
  </r>
  <r>
    <n v="910"/>
    <x v="909"/>
    <d v="2026-06-28T00:00:00"/>
    <x v="5"/>
    <s v="Kunal Sen"/>
    <n v="32"/>
    <x v="1"/>
    <x v="0"/>
    <x v="4"/>
    <x v="3"/>
    <x v="3"/>
    <x v="12"/>
    <n v="5"/>
    <n v="3769"/>
    <x v="904"/>
    <x v="3"/>
    <x v="3"/>
    <n v="3"/>
    <s v="No"/>
  </r>
  <r>
    <n v="911"/>
    <x v="910"/>
    <d v="2026-06-29T00:00:00"/>
    <x v="5"/>
    <s v="Sanya Malhotra"/>
    <n v="22"/>
    <x v="2"/>
    <x v="1"/>
    <x v="1"/>
    <x v="0"/>
    <x v="2"/>
    <x v="18"/>
    <n v="4"/>
    <n v="31063"/>
    <x v="905"/>
    <x v="1"/>
    <x v="9"/>
    <n v="5"/>
    <s v="Yes"/>
  </r>
  <r>
    <n v="912"/>
    <x v="911"/>
    <d v="2026-06-30T00:00:00"/>
    <x v="5"/>
    <s v="Vikram Chopra"/>
    <n v="31"/>
    <x v="1"/>
    <x v="0"/>
    <x v="6"/>
    <x v="0"/>
    <x v="4"/>
    <x v="7"/>
    <n v="2"/>
    <n v="782"/>
    <x v="906"/>
    <x v="3"/>
    <x v="5"/>
    <n v="1"/>
    <s v="Yes"/>
  </r>
  <r>
    <n v="913"/>
    <x v="912"/>
    <d v="2026-07-01T00:00:00"/>
    <x v="6"/>
    <s v="Manish Jain"/>
    <n v="34"/>
    <x v="1"/>
    <x v="0"/>
    <x v="0"/>
    <x v="1"/>
    <x v="0"/>
    <x v="0"/>
    <n v="4"/>
    <n v="25093"/>
    <x v="907"/>
    <x v="2"/>
    <x v="7"/>
    <n v="4"/>
    <s v="No"/>
  </r>
  <r>
    <n v="914"/>
    <x v="913"/>
    <d v="2026-07-02T00:00:00"/>
    <x v="6"/>
    <s v="Neha Nair"/>
    <n v="34"/>
    <x v="1"/>
    <x v="0"/>
    <x v="0"/>
    <x v="3"/>
    <x v="2"/>
    <x v="9"/>
    <n v="4"/>
    <n v="29193"/>
    <x v="908"/>
    <x v="0"/>
    <x v="1"/>
    <n v="4"/>
    <s v="No"/>
  </r>
  <r>
    <n v="915"/>
    <x v="914"/>
    <d v="2026-07-03T00:00:00"/>
    <x v="6"/>
    <s v="Kavya Reddy"/>
    <n v="25"/>
    <x v="2"/>
    <x v="1"/>
    <x v="5"/>
    <x v="2"/>
    <x v="0"/>
    <x v="0"/>
    <n v="7"/>
    <n v="41180"/>
    <x v="909"/>
    <x v="1"/>
    <x v="6"/>
    <n v="5"/>
    <s v="No"/>
  </r>
  <r>
    <n v="916"/>
    <x v="915"/>
    <d v="2026-07-04T00:00:00"/>
    <x v="6"/>
    <s v="Ananya Kapoor"/>
    <n v="40"/>
    <x v="1"/>
    <x v="0"/>
    <x v="0"/>
    <x v="3"/>
    <x v="4"/>
    <x v="5"/>
    <n v="2"/>
    <n v="1527"/>
    <x v="910"/>
    <x v="4"/>
    <x v="3"/>
    <n v="1"/>
    <s v="Yes"/>
  </r>
  <r>
    <n v="917"/>
    <x v="916"/>
    <d v="2026-07-05T00:00:00"/>
    <x v="6"/>
    <s v="Ravi Chopra"/>
    <n v="42"/>
    <x v="1"/>
    <x v="1"/>
    <x v="7"/>
    <x v="0"/>
    <x v="0"/>
    <x v="23"/>
    <n v="10"/>
    <n v="21957"/>
    <x v="911"/>
    <x v="3"/>
    <x v="8"/>
    <n v="1"/>
    <s v="No"/>
  </r>
  <r>
    <n v="918"/>
    <x v="917"/>
    <d v="2026-07-06T00:00:00"/>
    <x v="6"/>
    <s v="Aarav Verma"/>
    <n v="43"/>
    <x v="1"/>
    <x v="0"/>
    <x v="5"/>
    <x v="0"/>
    <x v="2"/>
    <x v="9"/>
    <n v="10"/>
    <n v="41981"/>
    <x v="912"/>
    <x v="1"/>
    <x v="5"/>
    <n v="5"/>
    <s v="Yes"/>
  </r>
  <r>
    <n v="919"/>
    <x v="918"/>
    <d v="2026-07-07T00:00:00"/>
    <x v="6"/>
    <s v="Aditya Chopra"/>
    <n v="57"/>
    <x v="0"/>
    <x v="1"/>
    <x v="8"/>
    <x v="2"/>
    <x v="0"/>
    <x v="23"/>
    <n v="10"/>
    <n v="5259"/>
    <x v="913"/>
    <x v="0"/>
    <x v="8"/>
    <n v="3"/>
    <s v="No"/>
  </r>
  <r>
    <n v="920"/>
    <x v="919"/>
    <d v="2026-07-08T00:00:00"/>
    <x v="6"/>
    <s v="Priya Nair"/>
    <n v="19"/>
    <x v="2"/>
    <x v="0"/>
    <x v="6"/>
    <x v="3"/>
    <x v="2"/>
    <x v="6"/>
    <n v="9"/>
    <n v="29864"/>
    <x v="914"/>
    <x v="1"/>
    <x v="6"/>
    <n v="1"/>
    <s v="Yes"/>
  </r>
  <r>
    <n v="921"/>
    <x v="920"/>
    <d v="2026-07-09T00:00:00"/>
    <x v="6"/>
    <s v="Rohan Gupta"/>
    <n v="19"/>
    <x v="2"/>
    <x v="0"/>
    <x v="5"/>
    <x v="1"/>
    <x v="3"/>
    <x v="16"/>
    <n v="4"/>
    <n v="42626"/>
    <x v="915"/>
    <x v="4"/>
    <x v="7"/>
    <n v="3"/>
    <s v="No"/>
  </r>
  <r>
    <n v="922"/>
    <x v="921"/>
    <d v="2026-07-10T00:00:00"/>
    <x v="6"/>
    <s v="Arjun Ghosh"/>
    <n v="36"/>
    <x v="1"/>
    <x v="1"/>
    <x v="0"/>
    <x v="3"/>
    <x v="2"/>
    <x v="9"/>
    <n v="9"/>
    <n v="9465"/>
    <x v="916"/>
    <x v="3"/>
    <x v="1"/>
    <n v="1"/>
    <s v="No"/>
  </r>
  <r>
    <n v="923"/>
    <x v="922"/>
    <d v="2026-07-11T00:00:00"/>
    <x v="6"/>
    <s v="Priya Agarwal"/>
    <n v="40"/>
    <x v="1"/>
    <x v="0"/>
    <x v="3"/>
    <x v="0"/>
    <x v="0"/>
    <x v="13"/>
    <n v="9"/>
    <n v="26516"/>
    <x v="917"/>
    <x v="2"/>
    <x v="3"/>
    <n v="2"/>
    <s v="No"/>
  </r>
  <r>
    <n v="924"/>
    <x v="923"/>
    <d v="2026-07-12T00:00:00"/>
    <x v="6"/>
    <s v="Ananya Nair"/>
    <n v="42"/>
    <x v="1"/>
    <x v="0"/>
    <x v="7"/>
    <x v="3"/>
    <x v="0"/>
    <x v="23"/>
    <n v="7"/>
    <n v="977"/>
    <x v="918"/>
    <x v="1"/>
    <x v="8"/>
    <n v="4"/>
    <s v="No"/>
  </r>
  <r>
    <n v="925"/>
    <x v="924"/>
    <d v="2026-07-13T00:00:00"/>
    <x v="6"/>
    <s v="Raj Agarwal"/>
    <n v="40"/>
    <x v="1"/>
    <x v="0"/>
    <x v="6"/>
    <x v="1"/>
    <x v="3"/>
    <x v="3"/>
    <n v="2"/>
    <n v="6694"/>
    <x v="919"/>
    <x v="2"/>
    <x v="1"/>
    <n v="5"/>
    <s v="Yes"/>
  </r>
  <r>
    <n v="926"/>
    <x v="925"/>
    <d v="2026-07-14T00:00:00"/>
    <x v="6"/>
    <s v="Sanya Malhotra"/>
    <n v="24"/>
    <x v="2"/>
    <x v="0"/>
    <x v="1"/>
    <x v="0"/>
    <x v="2"/>
    <x v="6"/>
    <n v="2"/>
    <n v="1071"/>
    <x v="920"/>
    <x v="4"/>
    <x v="8"/>
    <n v="4"/>
    <s v="No"/>
  </r>
  <r>
    <n v="927"/>
    <x v="926"/>
    <d v="2026-07-15T00:00:00"/>
    <x v="6"/>
    <s v="Manish Verma"/>
    <n v="27"/>
    <x v="2"/>
    <x v="0"/>
    <x v="5"/>
    <x v="2"/>
    <x v="4"/>
    <x v="7"/>
    <n v="2"/>
    <n v="1407"/>
    <x v="921"/>
    <x v="2"/>
    <x v="0"/>
    <n v="4"/>
    <s v="Yes"/>
  </r>
  <r>
    <n v="928"/>
    <x v="927"/>
    <d v="2026-07-16T00:00:00"/>
    <x v="6"/>
    <s v="Rohan Bose"/>
    <n v="41"/>
    <x v="1"/>
    <x v="1"/>
    <x v="6"/>
    <x v="3"/>
    <x v="2"/>
    <x v="6"/>
    <n v="7"/>
    <n v="8930"/>
    <x v="922"/>
    <x v="2"/>
    <x v="5"/>
    <n v="2"/>
    <s v="Yes"/>
  </r>
  <r>
    <n v="929"/>
    <x v="928"/>
    <d v="2026-07-17T00:00:00"/>
    <x v="6"/>
    <s v="Neha Verma"/>
    <n v="27"/>
    <x v="2"/>
    <x v="1"/>
    <x v="3"/>
    <x v="0"/>
    <x v="1"/>
    <x v="21"/>
    <n v="10"/>
    <n v="30874"/>
    <x v="923"/>
    <x v="2"/>
    <x v="6"/>
    <n v="5"/>
    <s v="Yes"/>
  </r>
  <r>
    <n v="930"/>
    <x v="929"/>
    <d v="2026-07-18T00:00:00"/>
    <x v="6"/>
    <s v="Kunal Nair"/>
    <n v="53"/>
    <x v="0"/>
    <x v="1"/>
    <x v="3"/>
    <x v="2"/>
    <x v="3"/>
    <x v="12"/>
    <n v="10"/>
    <n v="15643"/>
    <x v="924"/>
    <x v="0"/>
    <x v="6"/>
    <n v="1"/>
    <s v="No"/>
  </r>
  <r>
    <n v="931"/>
    <x v="930"/>
    <d v="2026-07-19T00:00:00"/>
    <x v="6"/>
    <s v="Rohan Verma"/>
    <n v="21"/>
    <x v="2"/>
    <x v="1"/>
    <x v="9"/>
    <x v="1"/>
    <x v="4"/>
    <x v="7"/>
    <n v="6"/>
    <n v="1470"/>
    <x v="925"/>
    <x v="3"/>
    <x v="6"/>
    <n v="4"/>
    <s v="No"/>
  </r>
  <r>
    <n v="932"/>
    <x v="931"/>
    <d v="2026-07-20T00:00:00"/>
    <x v="6"/>
    <s v="Manish Roy"/>
    <n v="46"/>
    <x v="1"/>
    <x v="0"/>
    <x v="3"/>
    <x v="2"/>
    <x v="0"/>
    <x v="13"/>
    <n v="6"/>
    <n v="19843"/>
    <x v="926"/>
    <x v="2"/>
    <x v="6"/>
    <n v="4"/>
    <s v="No"/>
  </r>
  <r>
    <n v="933"/>
    <x v="932"/>
    <d v="2026-07-21T00:00:00"/>
    <x v="6"/>
    <s v="Meera Iyer"/>
    <n v="41"/>
    <x v="1"/>
    <x v="1"/>
    <x v="7"/>
    <x v="1"/>
    <x v="3"/>
    <x v="22"/>
    <n v="3"/>
    <n v="6751"/>
    <x v="927"/>
    <x v="2"/>
    <x v="2"/>
    <n v="2"/>
    <s v="Yes"/>
  </r>
  <r>
    <n v="934"/>
    <x v="933"/>
    <d v="2026-07-22T00:00:00"/>
    <x v="6"/>
    <s v="Sneha Sen"/>
    <n v="29"/>
    <x v="2"/>
    <x v="1"/>
    <x v="3"/>
    <x v="1"/>
    <x v="4"/>
    <x v="4"/>
    <n v="2"/>
    <n v="1341"/>
    <x v="928"/>
    <x v="1"/>
    <x v="8"/>
    <n v="1"/>
    <s v="No"/>
  </r>
  <r>
    <n v="935"/>
    <x v="934"/>
    <d v="2026-07-23T00:00:00"/>
    <x v="6"/>
    <s v="Ananya Reddy"/>
    <n v="41"/>
    <x v="1"/>
    <x v="0"/>
    <x v="2"/>
    <x v="2"/>
    <x v="2"/>
    <x v="6"/>
    <n v="7"/>
    <n v="34525"/>
    <x v="929"/>
    <x v="2"/>
    <x v="1"/>
    <n v="2"/>
    <s v="No"/>
  </r>
  <r>
    <n v="936"/>
    <x v="935"/>
    <d v="2026-07-24T00:00:00"/>
    <x v="6"/>
    <s v="Pooja Bhatia"/>
    <n v="23"/>
    <x v="2"/>
    <x v="0"/>
    <x v="1"/>
    <x v="3"/>
    <x v="2"/>
    <x v="9"/>
    <n v="2"/>
    <n v="4247"/>
    <x v="930"/>
    <x v="2"/>
    <x v="5"/>
    <n v="2"/>
    <s v="Yes"/>
  </r>
  <r>
    <n v="937"/>
    <x v="936"/>
    <d v="2026-07-25T00:00:00"/>
    <x v="6"/>
    <s v="Aarav Malhotra"/>
    <n v="44"/>
    <x v="1"/>
    <x v="1"/>
    <x v="8"/>
    <x v="1"/>
    <x v="2"/>
    <x v="14"/>
    <n v="8"/>
    <n v="40639"/>
    <x v="931"/>
    <x v="0"/>
    <x v="3"/>
    <n v="4"/>
    <s v="Yes"/>
  </r>
  <r>
    <n v="938"/>
    <x v="937"/>
    <d v="2026-07-26T00:00:00"/>
    <x v="6"/>
    <s v="Raj Mehta"/>
    <n v="22"/>
    <x v="2"/>
    <x v="0"/>
    <x v="9"/>
    <x v="2"/>
    <x v="3"/>
    <x v="12"/>
    <n v="5"/>
    <n v="41356"/>
    <x v="932"/>
    <x v="0"/>
    <x v="0"/>
    <n v="3"/>
    <s v="Yes"/>
  </r>
  <r>
    <n v="939"/>
    <x v="938"/>
    <d v="2026-07-27T00:00:00"/>
    <x v="6"/>
    <s v="Neha Iyer"/>
    <n v="58"/>
    <x v="0"/>
    <x v="0"/>
    <x v="6"/>
    <x v="0"/>
    <x v="1"/>
    <x v="1"/>
    <n v="5"/>
    <n v="20760"/>
    <x v="933"/>
    <x v="2"/>
    <x v="0"/>
    <n v="1"/>
    <s v="Yes"/>
  </r>
  <r>
    <n v="940"/>
    <x v="939"/>
    <d v="2026-07-28T00:00:00"/>
    <x v="6"/>
    <s v="Neha Roy"/>
    <n v="33"/>
    <x v="1"/>
    <x v="1"/>
    <x v="0"/>
    <x v="1"/>
    <x v="3"/>
    <x v="22"/>
    <n v="1"/>
    <n v="7169"/>
    <x v="934"/>
    <x v="2"/>
    <x v="3"/>
    <n v="1"/>
    <s v="Yes"/>
  </r>
  <r>
    <n v="941"/>
    <x v="940"/>
    <d v="2026-07-29T00:00:00"/>
    <x v="6"/>
    <s v="Aarav Gupta"/>
    <n v="53"/>
    <x v="0"/>
    <x v="0"/>
    <x v="8"/>
    <x v="2"/>
    <x v="3"/>
    <x v="16"/>
    <n v="7"/>
    <n v="39988"/>
    <x v="935"/>
    <x v="3"/>
    <x v="0"/>
    <n v="4"/>
    <s v="Yes"/>
  </r>
  <r>
    <n v="942"/>
    <x v="941"/>
    <d v="2026-07-30T00:00:00"/>
    <x v="6"/>
    <s v="Meera Agarwal"/>
    <n v="22"/>
    <x v="2"/>
    <x v="1"/>
    <x v="4"/>
    <x v="0"/>
    <x v="1"/>
    <x v="21"/>
    <n v="9"/>
    <n v="22778"/>
    <x v="936"/>
    <x v="4"/>
    <x v="5"/>
    <n v="5"/>
    <s v="Yes"/>
  </r>
  <r>
    <n v="943"/>
    <x v="942"/>
    <d v="2026-07-31T00:00:00"/>
    <x v="6"/>
    <s v="Manish Singh"/>
    <n v="50"/>
    <x v="0"/>
    <x v="1"/>
    <x v="2"/>
    <x v="1"/>
    <x v="4"/>
    <x v="5"/>
    <n v="3"/>
    <n v="710"/>
    <x v="937"/>
    <x v="4"/>
    <x v="3"/>
    <n v="5"/>
    <s v="No"/>
  </r>
  <r>
    <n v="944"/>
    <x v="943"/>
    <d v="2026-08-01T00:00:00"/>
    <x v="7"/>
    <s v="Meera Kapoor"/>
    <n v="34"/>
    <x v="1"/>
    <x v="1"/>
    <x v="2"/>
    <x v="3"/>
    <x v="2"/>
    <x v="6"/>
    <n v="7"/>
    <n v="22000"/>
    <x v="938"/>
    <x v="3"/>
    <x v="6"/>
    <n v="3"/>
    <s v="Yes"/>
  </r>
  <r>
    <n v="945"/>
    <x v="944"/>
    <d v="2026-08-02T00:00:00"/>
    <x v="7"/>
    <s v="Sneha Kapoor"/>
    <n v="21"/>
    <x v="2"/>
    <x v="1"/>
    <x v="9"/>
    <x v="0"/>
    <x v="0"/>
    <x v="0"/>
    <n v="6"/>
    <n v="48831"/>
    <x v="939"/>
    <x v="2"/>
    <x v="1"/>
    <n v="3"/>
    <s v="No"/>
  </r>
  <r>
    <n v="946"/>
    <x v="945"/>
    <d v="2026-08-03T00:00:00"/>
    <x v="7"/>
    <s v="Rohan Roy"/>
    <n v="37"/>
    <x v="1"/>
    <x v="0"/>
    <x v="6"/>
    <x v="0"/>
    <x v="3"/>
    <x v="24"/>
    <n v="3"/>
    <n v="1980"/>
    <x v="940"/>
    <x v="3"/>
    <x v="6"/>
    <n v="4"/>
    <s v="Yes"/>
  </r>
  <r>
    <n v="947"/>
    <x v="946"/>
    <d v="2026-08-04T00:00:00"/>
    <x v="7"/>
    <s v="Aarav Verma"/>
    <n v="47"/>
    <x v="1"/>
    <x v="0"/>
    <x v="8"/>
    <x v="2"/>
    <x v="2"/>
    <x v="14"/>
    <n v="1"/>
    <n v="49903"/>
    <x v="941"/>
    <x v="1"/>
    <x v="3"/>
    <n v="2"/>
    <s v="Yes"/>
  </r>
  <r>
    <n v="948"/>
    <x v="947"/>
    <d v="2026-08-05T00:00:00"/>
    <x v="7"/>
    <s v="Aditya Nair"/>
    <n v="41"/>
    <x v="1"/>
    <x v="1"/>
    <x v="8"/>
    <x v="0"/>
    <x v="2"/>
    <x v="6"/>
    <n v="1"/>
    <n v="1154"/>
    <x v="942"/>
    <x v="1"/>
    <x v="7"/>
    <n v="1"/>
    <s v="Yes"/>
  </r>
  <r>
    <n v="949"/>
    <x v="948"/>
    <d v="2026-08-06T00:00:00"/>
    <x v="7"/>
    <s v="Meera Sen"/>
    <n v="43"/>
    <x v="1"/>
    <x v="0"/>
    <x v="2"/>
    <x v="3"/>
    <x v="4"/>
    <x v="15"/>
    <n v="8"/>
    <n v="485"/>
    <x v="943"/>
    <x v="0"/>
    <x v="0"/>
    <n v="3"/>
    <s v="No"/>
  </r>
  <r>
    <n v="950"/>
    <x v="949"/>
    <d v="2026-08-07T00:00:00"/>
    <x v="7"/>
    <s v="Kavya Jain"/>
    <n v="31"/>
    <x v="1"/>
    <x v="0"/>
    <x v="7"/>
    <x v="0"/>
    <x v="0"/>
    <x v="0"/>
    <n v="4"/>
    <n v="49182"/>
    <x v="944"/>
    <x v="4"/>
    <x v="6"/>
    <n v="1"/>
    <s v="No"/>
  </r>
  <r>
    <n v="951"/>
    <x v="950"/>
    <d v="2026-08-08T00:00:00"/>
    <x v="7"/>
    <s v="Manish Gupta"/>
    <n v="20"/>
    <x v="2"/>
    <x v="0"/>
    <x v="2"/>
    <x v="3"/>
    <x v="1"/>
    <x v="20"/>
    <n v="8"/>
    <n v="14223"/>
    <x v="945"/>
    <x v="4"/>
    <x v="5"/>
    <n v="3"/>
    <s v="No"/>
  </r>
  <r>
    <n v="952"/>
    <x v="951"/>
    <d v="2026-08-09T00:00:00"/>
    <x v="7"/>
    <s v="Tanvi Bose"/>
    <n v="60"/>
    <x v="0"/>
    <x v="1"/>
    <x v="7"/>
    <x v="0"/>
    <x v="3"/>
    <x v="22"/>
    <n v="9"/>
    <n v="28564"/>
    <x v="946"/>
    <x v="2"/>
    <x v="8"/>
    <n v="5"/>
    <s v="Yes"/>
  </r>
  <r>
    <n v="953"/>
    <x v="952"/>
    <d v="2026-08-10T00:00:00"/>
    <x v="7"/>
    <s v="Ananya Gupta"/>
    <n v="39"/>
    <x v="1"/>
    <x v="0"/>
    <x v="5"/>
    <x v="3"/>
    <x v="4"/>
    <x v="10"/>
    <n v="5"/>
    <n v="1652"/>
    <x v="947"/>
    <x v="2"/>
    <x v="1"/>
    <n v="1"/>
    <s v="No"/>
  </r>
  <r>
    <n v="954"/>
    <x v="953"/>
    <d v="2026-08-11T00:00:00"/>
    <x v="7"/>
    <s v="Sanya Mehta"/>
    <n v="32"/>
    <x v="1"/>
    <x v="0"/>
    <x v="0"/>
    <x v="0"/>
    <x v="3"/>
    <x v="3"/>
    <n v="8"/>
    <n v="10271"/>
    <x v="948"/>
    <x v="3"/>
    <x v="3"/>
    <n v="3"/>
    <s v="Yes"/>
  </r>
  <r>
    <n v="955"/>
    <x v="954"/>
    <d v="2026-08-12T00:00:00"/>
    <x v="7"/>
    <s v="Pooja Bhatia"/>
    <n v="40"/>
    <x v="1"/>
    <x v="1"/>
    <x v="8"/>
    <x v="3"/>
    <x v="0"/>
    <x v="17"/>
    <n v="1"/>
    <n v="20446"/>
    <x v="949"/>
    <x v="0"/>
    <x v="1"/>
    <n v="5"/>
    <s v="No"/>
  </r>
  <r>
    <n v="956"/>
    <x v="955"/>
    <d v="2026-08-13T00:00:00"/>
    <x v="7"/>
    <s v="Aditya Gupta"/>
    <n v="46"/>
    <x v="1"/>
    <x v="1"/>
    <x v="2"/>
    <x v="1"/>
    <x v="0"/>
    <x v="23"/>
    <n v="2"/>
    <n v="24920"/>
    <x v="950"/>
    <x v="3"/>
    <x v="2"/>
    <n v="3"/>
    <s v="No"/>
  </r>
  <r>
    <n v="957"/>
    <x v="956"/>
    <d v="2026-08-14T00:00:00"/>
    <x v="7"/>
    <s v="Kavya Mehta"/>
    <n v="46"/>
    <x v="1"/>
    <x v="1"/>
    <x v="8"/>
    <x v="3"/>
    <x v="0"/>
    <x v="17"/>
    <n v="10"/>
    <n v="33659"/>
    <x v="951"/>
    <x v="2"/>
    <x v="7"/>
    <n v="5"/>
    <s v="Yes"/>
  </r>
  <r>
    <n v="958"/>
    <x v="957"/>
    <d v="2026-08-15T00:00:00"/>
    <x v="7"/>
    <s v="Sanya Nair"/>
    <n v="38"/>
    <x v="1"/>
    <x v="1"/>
    <x v="1"/>
    <x v="2"/>
    <x v="0"/>
    <x v="23"/>
    <n v="8"/>
    <n v="36340"/>
    <x v="952"/>
    <x v="4"/>
    <x v="9"/>
    <n v="3"/>
    <s v="No"/>
  </r>
  <r>
    <n v="959"/>
    <x v="958"/>
    <d v="2026-08-16T00:00:00"/>
    <x v="7"/>
    <s v="Aditya Ghosh"/>
    <n v="56"/>
    <x v="0"/>
    <x v="0"/>
    <x v="5"/>
    <x v="2"/>
    <x v="2"/>
    <x v="6"/>
    <n v="7"/>
    <n v="45776"/>
    <x v="953"/>
    <x v="4"/>
    <x v="2"/>
    <n v="4"/>
    <s v="Yes"/>
  </r>
  <r>
    <n v="960"/>
    <x v="959"/>
    <d v="2026-08-17T00:00:00"/>
    <x v="7"/>
    <s v="Ravi Kapoor"/>
    <n v="52"/>
    <x v="0"/>
    <x v="0"/>
    <x v="2"/>
    <x v="1"/>
    <x v="1"/>
    <x v="11"/>
    <n v="7"/>
    <n v="44418"/>
    <x v="954"/>
    <x v="3"/>
    <x v="4"/>
    <n v="1"/>
    <s v="No"/>
  </r>
  <r>
    <n v="961"/>
    <x v="960"/>
    <d v="2026-08-18T00:00:00"/>
    <x v="7"/>
    <s v="Kavya Verma"/>
    <n v="31"/>
    <x v="1"/>
    <x v="0"/>
    <x v="4"/>
    <x v="0"/>
    <x v="0"/>
    <x v="8"/>
    <n v="1"/>
    <n v="6169"/>
    <x v="955"/>
    <x v="4"/>
    <x v="8"/>
    <n v="5"/>
    <s v="No"/>
  </r>
  <r>
    <n v="962"/>
    <x v="961"/>
    <d v="2026-08-19T00:00:00"/>
    <x v="7"/>
    <s v="Kunal Sen"/>
    <n v="45"/>
    <x v="1"/>
    <x v="1"/>
    <x v="1"/>
    <x v="1"/>
    <x v="0"/>
    <x v="0"/>
    <n v="3"/>
    <n v="4879"/>
    <x v="956"/>
    <x v="3"/>
    <x v="4"/>
    <n v="3"/>
    <s v="No"/>
  </r>
  <r>
    <n v="963"/>
    <x v="962"/>
    <d v="2026-08-20T00:00:00"/>
    <x v="7"/>
    <s v="Kunal Nair"/>
    <n v="28"/>
    <x v="2"/>
    <x v="0"/>
    <x v="2"/>
    <x v="0"/>
    <x v="4"/>
    <x v="7"/>
    <n v="6"/>
    <n v="584"/>
    <x v="957"/>
    <x v="3"/>
    <x v="0"/>
    <n v="3"/>
    <s v="Yes"/>
  </r>
  <r>
    <n v="964"/>
    <x v="963"/>
    <d v="2026-08-21T00:00:00"/>
    <x v="7"/>
    <s v="Sneha Ghosh"/>
    <n v="40"/>
    <x v="1"/>
    <x v="0"/>
    <x v="0"/>
    <x v="2"/>
    <x v="1"/>
    <x v="11"/>
    <n v="10"/>
    <n v="31201"/>
    <x v="958"/>
    <x v="3"/>
    <x v="4"/>
    <n v="3"/>
    <s v="No"/>
  </r>
  <r>
    <n v="965"/>
    <x v="964"/>
    <d v="2026-08-22T00:00:00"/>
    <x v="7"/>
    <s v="Ravi Reddy"/>
    <n v="47"/>
    <x v="1"/>
    <x v="1"/>
    <x v="4"/>
    <x v="0"/>
    <x v="0"/>
    <x v="17"/>
    <n v="5"/>
    <n v="25917"/>
    <x v="752"/>
    <x v="3"/>
    <x v="5"/>
    <n v="4"/>
    <s v="Yes"/>
  </r>
  <r>
    <n v="966"/>
    <x v="965"/>
    <d v="2026-08-23T00:00:00"/>
    <x v="7"/>
    <s v="Pooja Roy"/>
    <n v="45"/>
    <x v="1"/>
    <x v="0"/>
    <x v="3"/>
    <x v="2"/>
    <x v="3"/>
    <x v="24"/>
    <n v="1"/>
    <n v="29204"/>
    <x v="959"/>
    <x v="4"/>
    <x v="1"/>
    <n v="5"/>
    <s v="Yes"/>
  </r>
  <r>
    <n v="967"/>
    <x v="966"/>
    <d v="2026-08-24T00:00:00"/>
    <x v="7"/>
    <s v="Aditya Nair"/>
    <n v="55"/>
    <x v="0"/>
    <x v="0"/>
    <x v="2"/>
    <x v="3"/>
    <x v="1"/>
    <x v="11"/>
    <n v="1"/>
    <n v="32409"/>
    <x v="960"/>
    <x v="3"/>
    <x v="3"/>
    <n v="4"/>
    <s v="Yes"/>
  </r>
  <r>
    <n v="968"/>
    <x v="967"/>
    <d v="2026-08-25T00:00:00"/>
    <x v="7"/>
    <s v="Meera Chopra"/>
    <n v="19"/>
    <x v="2"/>
    <x v="1"/>
    <x v="2"/>
    <x v="3"/>
    <x v="2"/>
    <x v="9"/>
    <n v="2"/>
    <n v="45025"/>
    <x v="961"/>
    <x v="2"/>
    <x v="2"/>
    <n v="1"/>
    <s v="No"/>
  </r>
  <r>
    <n v="969"/>
    <x v="968"/>
    <d v="2026-08-26T00:00:00"/>
    <x v="7"/>
    <s v="Ravi Jain"/>
    <n v="41"/>
    <x v="1"/>
    <x v="0"/>
    <x v="7"/>
    <x v="1"/>
    <x v="3"/>
    <x v="22"/>
    <n v="2"/>
    <n v="20469"/>
    <x v="962"/>
    <x v="0"/>
    <x v="8"/>
    <n v="5"/>
    <s v="No"/>
  </r>
  <r>
    <n v="970"/>
    <x v="969"/>
    <d v="2026-08-27T00:00:00"/>
    <x v="7"/>
    <s v="Ravi Sharma"/>
    <n v="28"/>
    <x v="2"/>
    <x v="0"/>
    <x v="0"/>
    <x v="0"/>
    <x v="0"/>
    <x v="13"/>
    <n v="1"/>
    <n v="18055"/>
    <x v="963"/>
    <x v="3"/>
    <x v="2"/>
    <n v="4"/>
    <s v="Yes"/>
  </r>
  <r>
    <n v="971"/>
    <x v="970"/>
    <d v="2026-08-28T00:00:00"/>
    <x v="7"/>
    <s v="Manish Reddy"/>
    <n v="47"/>
    <x v="1"/>
    <x v="0"/>
    <x v="6"/>
    <x v="2"/>
    <x v="2"/>
    <x v="14"/>
    <n v="4"/>
    <n v="11476"/>
    <x v="964"/>
    <x v="1"/>
    <x v="6"/>
    <n v="1"/>
    <s v="Yes"/>
  </r>
  <r>
    <n v="972"/>
    <x v="971"/>
    <d v="2026-08-29T00:00:00"/>
    <x v="7"/>
    <s v="Kavya Das"/>
    <n v="36"/>
    <x v="1"/>
    <x v="0"/>
    <x v="2"/>
    <x v="1"/>
    <x v="4"/>
    <x v="5"/>
    <n v="4"/>
    <n v="351"/>
    <x v="793"/>
    <x v="3"/>
    <x v="1"/>
    <n v="2"/>
    <s v="No"/>
  </r>
  <r>
    <n v="973"/>
    <x v="972"/>
    <d v="2026-08-30T00:00:00"/>
    <x v="7"/>
    <s v="Kunal Iyer"/>
    <n v="57"/>
    <x v="0"/>
    <x v="0"/>
    <x v="6"/>
    <x v="3"/>
    <x v="1"/>
    <x v="11"/>
    <n v="10"/>
    <n v="4711"/>
    <x v="965"/>
    <x v="4"/>
    <x v="2"/>
    <n v="4"/>
    <s v="Yes"/>
  </r>
  <r>
    <n v="974"/>
    <x v="973"/>
    <d v="2026-08-31T00:00:00"/>
    <x v="7"/>
    <s v="Meera Nair"/>
    <n v="18"/>
    <x v="2"/>
    <x v="0"/>
    <x v="5"/>
    <x v="0"/>
    <x v="2"/>
    <x v="14"/>
    <n v="6"/>
    <n v="34210"/>
    <x v="966"/>
    <x v="2"/>
    <x v="3"/>
    <n v="3"/>
    <s v="Yes"/>
  </r>
  <r>
    <n v="975"/>
    <x v="974"/>
    <d v="2026-09-01T00:00:00"/>
    <x v="8"/>
    <s v="Tanvi Agarwal"/>
    <n v="40"/>
    <x v="1"/>
    <x v="0"/>
    <x v="2"/>
    <x v="0"/>
    <x v="1"/>
    <x v="1"/>
    <n v="8"/>
    <n v="44824"/>
    <x v="967"/>
    <x v="4"/>
    <x v="5"/>
    <n v="3"/>
    <s v="Yes"/>
  </r>
  <r>
    <n v="976"/>
    <x v="975"/>
    <d v="2026-09-02T00:00:00"/>
    <x v="8"/>
    <s v="Sneha Kapoor"/>
    <n v="38"/>
    <x v="1"/>
    <x v="1"/>
    <x v="2"/>
    <x v="2"/>
    <x v="1"/>
    <x v="11"/>
    <n v="3"/>
    <n v="37949"/>
    <x v="968"/>
    <x v="0"/>
    <x v="7"/>
    <n v="2"/>
    <s v="No"/>
  </r>
  <r>
    <n v="977"/>
    <x v="976"/>
    <d v="2026-09-03T00:00:00"/>
    <x v="8"/>
    <s v="Kavya Bose"/>
    <n v="50"/>
    <x v="0"/>
    <x v="1"/>
    <x v="9"/>
    <x v="3"/>
    <x v="0"/>
    <x v="13"/>
    <n v="8"/>
    <n v="47520"/>
    <x v="969"/>
    <x v="3"/>
    <x v="1"/>
    <n v="1"/>
    <s v="No"/>
  </r>
  <r>
    <n v="978"/>
    <x v="977"/>
    <d v="2026-09-04T00:00:00"/>
    <x v="8"/>
    <s v="Ananya Reddy"/>
    <n v="52"/>
    <x v="0"/>
    <x v="1"/>
    <x v="1"/>
    <x v="1"/>
    <x v="4"/>
    <x v="5"/>
    <n v="2"/>
    <n v="1443"/>
    <x v="970"/>
    <x v="4"/>
    <x v="9"/>
    <n v="2"/>
    <s v="Yes"/>
  </r>
  <r>
    <n v="979"/>
    <x v="978"/>
    <d v="2026-09-05T00:00:00"/>
    <x v="8"/>
    <s v="Pooja Malhotra"/>
    <n v="28"/>
    <x v="2"/>
    <x v="1"/>
    <x v="3"/>
    <x v="0"/>
    <x v="1"/>
    <x v="1"/>
    <n v="4"/>
    <n v="30366"/>
    <x v="971"/>
    <x v="1"/>
    <x v="6"/>
    <n v="2"/>
    <s v="Yes"/>
  </r>
  <r>
    <n v="980"/>
    <x v="979"/>
    <d v="2026-09-06T00:00:00"/>
    <x v="8"/>
    <s v="Neha Reddy"/>
    <n v="53"/>
    <x v="0"/>
    <x v="0"/>
    <x v="4"/>
    <x v="0"/>
    <x v="3"/>
    <x v="24"/>
    <n v="9"/>
    <n v="2864"/>
    <x v="972"/>
    <x v="3"/>
    <x v="6"/>
    <n v="1"/>
    <s v="Yes"/>
  </r>
  <r>
    <n v="981"/>
    <x v="980"/>
    <d v="2026-09-07T00:00:00"/>
    <x v="8"/>
    <s v="Vikram Bose"/>
    <n v="49"/>
    <x v="1"/>
    <x v="0"/>
    <x v="1"/>
    <x v="3"/>
    <x v="1"/>
    <x v="20"/>
    <n v="6"/>
    <n v="30264"/>
    <x v="973"/>
    <x v="3"/>
    <x v="3"/>
    <n v="3"/>
    <s v="No"/>
  </r>
  <r>
    <n v="982"/>
    <x v="981"/>
    <d v="2026-09-08T00:00:00"/>
    <x v="8"/>
    <s v="Kavya Reddy"/>
    <n v="39"/>
    <x v="1"/>
    <x v="0"/>
    <x v="8"/>
    <x v="1"/>
    <x v="2"/>
    <x v="2"/>
    <n v="1"/>
    <n v="49687"/>
    <x v="974"/>
    <x v="2"/>
    <x v="0"/>
    <n v="5"/>
    <s v="No"/>
  </r>
  <r>
    <n v="983"/>
    <x v="982"/>
    <d v="2026-09-09T00:00:00"/>
    <x v="8"/>
    <s v="Neha Bose"/>
    <n v="52"/>
    <x v="0"/>
    <x v="1"/>
    <x v="3"/>
    <x v="0"/>
    <x v="3"/>
    <x v="24"/>
    <n v="10"/>
    <n v="23900"/>
    <x v="975"/>
    <x v="2"/>
    <x v="7"/>
    <n v="1"/>
    <s v="Yes"/>
  </r>
  <r>
    <n v="984"/>
    <x v="983"/>
    <d v="2026-09-10T00:00:00"/>
    <x v="8"/>
    <s v="Sanya Chopra"/>
    <n v="60"/>
    <x v="0"/>
    <x v="0"/>
    <x v="6"/>
    <x v="0"/>
    <x v="1"/>
    <x v="20"/>
    <n v="5"/>
    <n v="27631"/>
    <x v="976"/>
    <x v="0"/>
    <x v="2"/>
    <n v="1"/>
    <s v="Yes"/>
  </r>
  <r>
    <n v="985"/>
    <x v="984"/>
    <d v="2026-09-11T00:00:00"/>
    <x v="8"/>
    <s v="Ravi Bhatia"/>
    <n v="30"/>
    <x v="1"/>
    <x v="1"/>
    <x v="2"/>
    <x v="0"/>
    <x v="0"/>
    <x v="23"/>
    <n v="2"/>
    <n v="34267"/>
    <x v="977"/>
    <x v="3"/>
    <x v="7"/>
    <n v="2"/>
    <s v="Yes"/>
  </r>
  <r>
    <n v="986"/>
    <x v="985"/>
    <d v="2026-09-12T00:00:00"/>
    <x v="8"/>
    <s v="Tanvi Singh"/>
    <n v="43"/>
    <x v="1"/>
    <x v="0"/>
    <x v="5"/>
    <x v="3"/>
    <x v="1"/>
    <x v="1"/>
    <n v="6"/>
    <n v="41898"/>
    <x v="978"/>
    <x v="3"/>
    <x v="6"/>
    <n v="4"/>
    <s v="No"/>
  </r>
  <r>
    <n v="987"/>
    <x v="986"/>
    <d v="2026-09-13T00:00:00"/>
    <x v="8"/>
    <s v="Ananya Sharma"/>
    <n v="47"/>
    <x v="1"/>
    <x v="1"/>
    <x v="4"/>
    <x v="3"/>
    <x v="4"/>
    <x v="7"/>
    <n v="7"/>
    <n v="1821"/>
    <x v="979"/>
    <x v="2"/>
    <x v="1"/>
    <n v="5"/>
    <s v="No"/>
  </r>
  <r>
    <n v="988"/>
    <x v="987"/>
    <d v="2026-09-14T00:00:00"/>
    <x v="8"/>
    <s v="Rohan Jain"/>
    <n v="22"/>
    <x v="2"/>
    <x v="1"/>
    <x v="7"/>
    <x v="1"/>
    <x v="2"/>
    <x v="18"/>
    <n v="2"/>
    <n v="2998"/>
    <x v="980"/>
    <x v="0"/>
    <x v="1"/>
    <n v="2"/>
    <s v="No"/>
  </r>
  <r>
    <n v="989"/>
    <x v="988"/>
    <d v="2026-09-15T00:00:00"/>
    <x v="8"/>
    <s v="Priya Malhotra"/>
    <n v="33"/>
    <x v="1"/>
    <x v="0"/>
    <x v="3"/>
    <x v="1"/>
    <x v="0"/>
    <x v="13"/>
    <n v="8"/>
    <n v="838"/>
    <x v="981"/>
    <x v="4"/>
    <x v="2"/>
    <n v="4"/>
    <s v="Yes"/>
  </r>
  <r>
    <n v="990"/>
    <x v="989"/>
    <d v="2026-09-16T00:00:00"/>
    <x v="8"/>
    <s v="Raj Mehta"/>
    <n v="58"/>
    <x v="0"/>
    <x v="1"/>
    <x v="7"/>
    <x v="3"/>
    <x v="4"/>
    <x v="10"/>
    <n v="6"/>
    <n v="1197"/>
    <x v="982"/>
    <x v="2"/>
    <x v="6"/>
    <n v="3"/>
    <s v="Yes"/>
  </r>
  <r>
    <n v="991"/>
    <x v="990"/>
    <d v="2026-09-17T00:00:00"/>
    <x v="8"/>
    <s v="Sanya Gupta"/>
    <n v="32"/>
    <x v="1"/>
    <x v="1"/>
    <x v="7"/>
    <x v="3"/>
    <x v="2"/>
    <x v="18"/>
    <n v="8"/>
    <n v="46340"/>
    <x v="983"/>
    <x v="2"/>
    <x v="7"/>
    <n v="1"/>
    <s v="Yes"/>
  </r>
  <r>
    <n v="992"/>
    <x v="991"/>
    <d v="2026-09-18T00:00:00"/>
    <x v="8"/>
    <s v="Ravi Jain"/>
    <n v="24"/>
    <x v="2"/>
    <x v="1"/>
    <x v="3"/>
    <x v="2"/>
    <x v="4"/>
    <x v="4"/>
    <n v="3"/>
    <n v="411"/>
    <x v="984"/>
    <x v="1"/>
    <x v="4"/>
    <n v="2"/>
    <s v="Yes"/>
  </r>
  <r>
    <n v="993"/>
    <x v="992"/>
    <d v="2026-09-19T00:00:00"/>
    <x v="8"/>
    <s v="Rohan Verma"/>
    <n v="54"/>
    <x v="0"/>
    <x v="0"/>
    <x v="0"/>
    <x v="1"/>
    <x v="2"/>
    <x v="18"/>
    <n v="3"/>
    <n v="12119"/>
    <x v="985"/>
    <x v="0"/>
    <x v="3"/>
    <n v="3"/>
    <s v="No"/>
  </r>
  <r>
    <n v="994"/>
    <x v="993"/>
    <d v="2026-09-20T00:00:00"/>
    <x v="8"/>
    <s v="Raj Das"/>
    <n v="22"/>
    <x v="2"/>
    <x v="1"/>
    <x v="1"/>
    <x v="2"/>
    <x v="2"/>
    <x v="2"/>
    <n v="9"/>
    <n v="39840"/>
    <x v="986"/>
    <x v="4"/>
    <x v="0"/>
    <n v="5"/>
    <s v="No"/>
  </r>
  <r>
    <n v="995"/>
    <x v="994"/>
    <d v="2026-09-21T00:00:00"/>
    <x v="8"/>
    <s v="Meera Bhatia"/>
    <n v="43"/>
    <x v="1"/>
    <x v="1"/>
    <x v="4"/>
    <x v="2"/>
    <x v="3"/>
    <x v="22"/>
    <n v="4"/>
    <n v="40080"/>
    <x v="987"/>
    <x v="4"/>
    <x v="7"/>
    <n v="3"/>
    <s v="No"/>
  </r>
  <r>
    <n v="996"/>
    <x v="995"/>
    <d v="2026-09-22T00:00:00"/>
    <x v="8"/>
    <s v="Arjun Mehta"/>
    <n v="19"/>
    <x v="2"/>
    <x v="0"/>
    <x v="3"/>
    <x v="1"/>
    <x v="4"/>
    <x v="5"/>
    <n v="3"/>
    <n v="613"/>
    <x v="988"/>
    <x v="1"/>
    <x v="8"/>
    <n v="2"/>
    <s v="Yes"/>
  </r>
  <r>
    <n v="997"/>
    <x v="996"/>
    <d v="2026-09-23T00:00:00"/>
    <x v="8"/>
    <s v="Sneha Iyer"/>
    <n v="34"/>
    <x v="1"/>
    <x v="1"/>
    <x v="3"/>
    <x v="1"/>
    <x v="2"/>
    <x v="14"/>
    <n v="4"/>
    <n v="2015"/>
    <x v="989"/>
    <x v="4"/>
    <x v="6"/>
    <n v="4"/>
    <s v="No"/>
  </r>
  <r>
    <n v="998"/>
    <x v="997"/>
    <d v="2026-09-24T00:00:00"/>
    <x v="8"/>
    <s v="Arjun Verma"/>
    <n v="35"/>
    <x v="1"/>
    <x v="0"/>
    <x v="6"/>
    <x v="1"/>
    <x v="3"/>
    <x v="3"/>
    <n v="10"/>
    <n v="11703"/>
    <x v="990"/>
    <x v="3"/>
    <x v="9"/>
    <n v="2"/>
    <s v="Yes"/>
  </r>
  <r>
    <n v="999"/>
    <x v="998"/>
    <d v="2026-09-25T00:00:00"/>
    <x v="8"/>
    <s v="Kunal Jain"/>
    <n v="48"/>
    <x v="1"/>
    <x v="1"/>
    <x v="3"/>
    <x v="1"/>
    <x v="0"/>
    <x v="13"/>
    <n v="8"/>
    <n v="15517"/>
    <x v="991"/>
    <x v="2"/>
    <x v="9"/>
    <n v="5"/>
    <s v="No"/>
  </r>
  <r>
    <n v="1000"/>
    <x v="999"/>
    <d v="2026-09-26T00:00:00"/>
    <x v="8"/>
    <s v="Neha Reddy"/>
    <n v="43"/>
    <x v="1"/>
    <x v="0"/>
    <x v="3"/>
    <x v="0"/>
    <x v="2"/>
    <x v="14"/>
    <n v="5"/>
    <n v="49872"/>
    <x v="992"/>
    <x v="2"/>
    <x v="0"/>
    <n v="2"/>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n v="10902829"/>
  </r>
  <r>
    <x v="1"/>
    <n v="1368103"/>
  </r>
  <r>
    <x v="2"/>
    <n v="3758978"/>
  </r>
  <r>
    <x v="3"/>
    <n v="2314779"/>
  </r>
  <r>
    <x v="4"/>
    <n v="117313"/>
  </r>
  <r>
    <x v="5"/>
    <n v="3343656"/>
  </r>
  <r>
    <x v="6"/>
    <n v="10323954"/>
  </r>
  <r>
    <x v="1"/>
    <n v="2325977"/>
  </r>
  <r>
    <x v="2"/>
    <n v="2454320"/>
  </r>
  <r>
    <x v="3"/>
    <n v="2907378"/>
  </r>
  <r>
    <x v="4"/>
    <n v="77550"/>
  </r>
  <r>
    <x v="5"/>
    <n v="2558729"/>
  </r>
  <r>
    <x v="7"/>
    <n v="10080603"/>
  </r>
  <r>
    <x v="1"/>
    <n v="3757992"/>
  </r>
  <r>
    <x v="2"/>
    <n v="1238770"/>
  </r>
  <r>
    <x v="3"/>
    <n v="2659773"/>
  </r>
  <r>
    <x v="4"/>
    <n v="92007"/>
  </r>
  <r>
    <x v="5"/>
    <n v="2332061"/>
  </r>
  <r>
    <x v="8"/>
    <n v="11206959"/>
  </r>
  <r>
    <x v="1"/>
    <n v="1798239"/>
  </r>
  <r>
    <x v="2"/>
    <n v="3306507"/>
  </r>
  <r>
    <x v="3"/>
    <n v="2773524"/>
  </r>
  <r>
    <x v="4"/>
    <n v="90087"/>
  </r>
  <r>
    <x v="5"/>
    <n v="3238602"/>
  </r>
  <r>
    <x v="9"/>
    <n v="9528907"/>
  </r>
  <r>
    <x v="1"/>
    <n v="1969261"/>
  </r>
  <r>
    <x v="2"/>
    <n v="2589401"/>
  </r>
  <r>
    <x v="3"/>
    <n v="3085288"/>
  </r>
  <r>
    <x v="4"/>
    <n v="99390"/>
  </r>
  <r>
    <x v="5"/>
    <n v="1785567"/>
  </r>
  <r>
    <x v="10"/>
    <n v="10519343"/>
  </r>
  <r>
    <x v="1"/>
    <n v="1289460"/>
  </r>
  <r>
    <x v="2"/>
    <n v="2407971"/>
  </r>
  <r>
    <x v="3"/>
    <n v="3890649"/>
  </r>
  <r>
    <x v="4"/>
    <n v="68911"/>
  </r>
  <r>
    <x v="5"/>
    <n v="2862352"/>
  </r>
  <r>
    <x v="11"/>
    <n v="11740538"/>
  </r>
  <r>
    <x v="1"/>
    <n v="2869137"/>
  </r>
  <r>
    <x v="2"/>
    <n v="3430248"/>
  </r>
  <r>
    <x v="3"/>
    <n v="2516971"/>
  </r>
  <r>
    <x v="4"/>
    <n v="50061"/>
  </r>
  <r>
    <x v="5"/>
    <n v="2874121"/>
  </r>
  <r>
    <x v="12"/>
    <n v="10935869"/>
  </r>
  <r>
    <x v="1"/>
    <n v="2715502"/>
  </r>
  <r>
    <x v="2"/>
    <n v="2550735"/>
  </r>
  <r>
    <x v="3"/>
    <n v="3010888"/>
  </r>
  <r>
    <x v="4"/>
    <n v="49571"/>
  </r>
  <r>
    <x v="5"/>
    <n v="2609173"/>
  </r>
  <r>
    <x v="13"/>
    <n v="10650271"/>
  </r>
  <r>
    <x v="1"/>
    <n v="1732048"/>
  </r>
  <r>
    <x v="2"/>
    <n v="3217561"/>
  </r>
  <r>
    <x v="3"/>
    <n v="2858591"/>
  </r>
  <r>
    <x v="4"/>
    <n v="42305"/>
  </r>
  <r>
    <x v="5"/>
    <n v="2799766"/>
  </r>
  <r>
    <x v="14"/>
    <n v="5777595"/>
  </r>
  <r>
    <x v="1"/>
    <n v="777866"/>
  </r>
  <r>
    <x v="2"/>
    <n v="1729154"/>
  </r>
  <r>
    <x v="3"/>
    <n v="995174"/>
  </r>
  <r>
    <x v="4"/>
    <n v="94111"/>
  </r>
  <r>
    <x v="5"/>
    <n v="2181290"/>
  </r>
  <r>
    <x v="15"/>
    <n v="5065530"/>
  </r>
  <r>
    <x v="1"/>
    <n v="1584928"/>
  </r>
  <r>
    <x v="2"/>
    <n v="881041"/>
  </r>
  <r>
    <x v="3"/>
    <n v="1383032"/>
  </r>
  <r>
    <x v="4"/>
    <n v="111618"/>
  </r>
  <r>
    <x v="5"/>
    <n v="1104911"/>
  </r>
  <r>
    <x v="16"/>
    <n v="6377012"/>
  </r>
  <r>
    <x v="1"/>
    <n v="1966325"/>
  </r>
  <r>
    <x v="2"/>
    <n v="2014546"/>
  </r>
  <r>
    <x v="3"/>
    <n v="972200"/>
  </r>
  <r>
    <x v="4"/>
    <n v="41016"/>
  </r>
  <r>
    <x v="5"/>
    <n v="13829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C1B615-FB3B-451F-B1DF-C4F27AC033D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6:E64" firstHeaderRow="1" firstDataRow="1" firstDataCol="1"/>
  <pivotFields count="2">
    <pivotField axis="axisRow" showAll="0">
      <items count="18">
        <item x="0"/>
        <item x="6"/>
        <item x="7"/>
        <item x="8"/>
        <item x="9"/>
        <item x="10"/>
        <item x="11"/>
        <item x="12"/>
        <item x="13"/>
        <item x="14"/>
        <item x="15"/>
        <item x="16"/>
        <item x="1"/>
        <item x="2"/>
        <item x="3"/>
        <item x="4"/>
        <item x="5"/>
        <item t="default"/>
      </items>
    </pivotField>
    <pivotField dataField="1"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Sum of Total Sales (₹)"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90D84E-6693-407A-B849-9B830CD1D20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B73" firstHeaderRow="1" firstDataRow="1" firstDataCol="1"/>
  <pivotFields count="19">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6">
        <item x="0"/>
        <item x="2"/>
        <item x="1"/>
        <item x="4"/>
        <item x="3"/>
        <item t="default"/>
      </items>
    </pivotField>
    <pivotField showAll="0"/>
    <pivotField showAll="0"/>
    <pivotField showAll="0"/>
    <pivotField dataField="1" showAll="0"/>
    <pivotField showAll="0"/>
    <pivotField showAll="0"/>
    <pivotField showAll="0"/>
    <pivotField showAll="0"/>
  </pivotFields>
  <rowFields count="2">
    <field x="3"/>
    <field x="10"/>
  </rowFields>
  <rowItems count="72">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x v="9"/>
    </i>
    <i r="1">
      <x/>
    </i>
    <i r="1">
      <x v="1"/>
    </i>
    <i r="1">
      <x v="2"/>
    </i>
    <i r="1">
      <x v="3"/>
    </i>
    <i r="1">
      <x v="4"/>
    </i>
    <i>
      <x v="10"/>
    </i>
    <i r="1">
      <x/>
    </i>
    <i r="1">
      <x v="1"/>
    </i>
    <i r="1">
      <x v="2"/>
    </i>
    <i r="1">
      <x v="3"/>
    </i>
    <i r="1">
      <x v="4"/>
    </i>
    <i>
      <x v="11"/>
    </i>
    <i r="1">
      <x/>
    </i>
    <i r="1">
      <x v="1"/>
    </i>
    <i r="1">
      <x v="2"/>
    </i>
    <i r="1">
      <x v="3"/>
    </i>
    <i r="1">
      <x v="4"/>
    </i>
  </rowItems>
  <colItems count="1">
    <i/>
  </colItems>
  <dataFields count="1">
    <dataField name="Sum of Total Sales (₹)" fld="14" baseField="3"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FBC69C-7E30-49BB-ACE7-A8BA3E3A179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B2" firstHeaderRow="1" firstDataRow="1" firstDataCol="1"/>
  <pivotFields count="19">
    <pivotField showAll="0"/>
    <pivotField showAll="0"/>
    <pivotField numFmtId="14" showAll="0"/>
    <pivotField showAll="0"/>
    <pivotField showAll="0"/>
    <pivotField showAll="0"/>
    <pivotField showAll="0"/>
    <pivotField axis="axisRow" showAll="0">
      <items count="3">
        <item x="1"/>
        <item h="1" x="0"/>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7"/>
  </rowFields>
  <rowItems count="1">
    <i>
      <x/>
    </i>
  </rowItems>
  <colItems count="1">
    <i/>
  </colItems>
  <dataFields count="1">
    <dataField name="Sum of Total Sales (₹)" fld="14"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06A262-FCFE-485F-8BBB-20E2DA28F0D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1:C2" firstHeaderRow="0" firstDataRow="1" firstDataCol="1"/>
  <pivotFields count="19">
    <pivotField showAll="0"/>
    <pivotField dataField="1" showAll="0">
      <items count="1001">
        <item h="1" x="783"/>
        <item h="1" x="268"/>
        <item h="1" x="841"/>
        <item x="982"/>
        <item h="1" x="805"/>
        <item h="1" x="854"/>
        <item h="1" x="282"/>
        <item h="1" x="329"/>
        <item h="1" x="928"/>
        <item h="1" x="819"/>
        <item h="1" x="771"/>
        <item h="1" x="151"/>
        <item h="1" x="330"/>
        <item h="1" x="274"/>
        <item h="1" x="644"/>
        <item h="1" x="125"/>
        <item h="1" x="229"/>
        <item h="1" x="117"/>
        <item h="1" x="362"/>
        <item h="1" x="69"/>
        <item h="1" x="719"/>
        <item h="1" x="570"/>
        <item h="1" x="302"/>
        <item h="1" x="331"/>
        <item h="1" x="72"/>
        <item h="1" x="152"/>
        <item h="1" x="820"/>
        <item h="1" x="978"/>
        <item h="1" x="33"/>
        <item h="1" x="322"/>
        <item h="1" x="316"/>
        <item h="1" x="808"/>
        <item h="1" x="500"/>
        <item h="1" x="971"/>
        <item h="1" x="754"/>
        <item h="1" x="218"/>
        <item h="1" x="678"/>
        <item h="1" x="871"/>
        <item h="1" x="502"/>
        <item h="1" x="1"/>
        <item h="1" x="810"/>
        <item h="1" x="577"/>
        <item h="1" x="584"/>
        <item h="1" x="171"/>
        <item h="1" x="720"/>
        <item h="1" x="435"/>
        <item h="1" x="541"/>
        <item h="1" x="560"/>
        <item h="1" x="350"/>
        <item h="1" x="555"/>
        <item h="1" x="915"/>
        <item h="1" x="236"/>
        <item h="1" x="342"/>
        <item h="1" x="226"/>
        <item h="1" x="100"/>
        <item h="1" x="696"/>
        <item h="1" x="0"/>
        <item h="1" x="961"/>
        <item h="1" x="543"/>
        <item h="1" x="34"/>
        <item h="1" x="778"/>
        <item h="1" x="986"/>
        <item h="1" x="508"/>
        <item h="1" x="842"/>
        <item h="1" x="160"/>
        <item h="1" x="88"/>
        <item h="1" x="436"/>
        <item h="1" x="916"/>
        <item h="1" x="15"/>
        <item h="1" x="398"/>
        <item h="1" x="40"/>
        <item h="1" x="212"/>
        <item h="1" x="816"/>
        <item h="1" x="290"/>
        <item h="1" x="954"/>
        <item h="1" x="901"/>
        <item h="1" x="317"/>
        <item h="1" x="332"/>
        <item h="1" x="755"/>
        <item h="1" x="291"/>
        <item h="1" x="351"/>
        <item h="1" x="230"/>
        <item h="1" x="726"/>
        <item h="1" x="174"/>
        <item h="1" x="588"/>
        <item h="1" x="495"/>
        <item h="1" x="470"/>
        <item h="1" x="509"/>
        <item h="1" x="101"/>
        <item h="1" x="881"/>
        <item h="1" x="684"/>
        <item h="1" x="2"/>
        <item h="1" x="205"/>
        <item h="1" x="606"/>
        <item h="1" x="63"/>
        <item h="1" x="3"/>
        <item h="1" x="571"/>
        <item h="1" x="829"/>
        <item h="1" x="423"/>
        <item h="1" x="213"/>
        <item h="1" x="199"/>
        <item h="1" x="50"/>
        <item h="1" x="405"/>
        <item h="1" x="544"/>
        <item h="1" x="83"/>
        <item h="1" x="794"/>
        <item h="1" x="453"/>
        <item h="1" x="806"/>
        <item h="1" x="817"/>
        <item h="1" x="578"/>
        <item h="1" x="872"/>
        <item h="1" x="35"/>
        <item h="1" x="186"/>
        <item h="1" x="153"/>
        <item h="1" x="775"/>
        <item h="1" x="664"/>
        <item h="1" x="299"/>
        <item h="1" x="84"/>
        <item h="1" x="51"/>
        <item h="1" x="625"/>
        <item h="1" x="97"/>
        <item h="1" x="343"/>
        <item h="1" x="292"/>
        <item h="1" x="489"/>
        <item h="1" x="260"/>
        <item h="1" x="864"/>
        <item h="1" x="968"/>
        <item h="1" x="941"/>
        <item h="1" x="942"/>
        <item h="1" x="98"/>
        <item h="1" x="209"/>
        <item h="1" x="626"/>
        <item h="1" x="601"/>
        <item h="1" x="399"/>
        <item h="1" x="206"/>
        <item h="1" x="639"/>
        <item h="1" x="141"/>
        <item h="1" x="90"/>
        <item h="1" x="245"/>
        <item h="1" x="410"/>
        <item h="1" x="589"/>
        <item h="1" x="723"/>
        <item h="1" x="200"/>
        <item h="1" x="214"/>
        <item h="1" x="858"/>
        <item h="1" x="950"/>
        <item h="1" x="187"/>
        <item h="1" x="132"/>
        <item h="1" x="667"/>
        <item h="1" x="424"/>
        <item h="1" x="16"/>
        <item h="1" x="595"/>
        <item h="1" x="795"/>
        <item h="1" x="760"/>
        <item h="1" x="935"/>
        <item h="1" x="207"/>
        <item h="1" x="565"/>
        <item h="1" x="524"/>
        <item h="1" x="556"/>
        <item h="1" x="374"/>
        <item h="1" x="761"/>
        <item h="1" x="672"/>
        <item h="1" x="510"/>
        <item h="1" x="375"/>
        <item h="1" x="685"/>
        <item h="1" x="73"/>
        <item h="1" x="261"/>
        <item h="1" x="386"/>
        <item h="1" x="912"/>
        <item h="1" x="318"/>
        <item h="1" x="94"/>
        <item h="1" x="799"/>
        <item h="1" x="142"/>
        <item h="1" x="843"/>
        <item h="1" x="627"/>
        <item h="1" x="675"/>
        <item h="1" x="697"/>
        <item h="1" x="746"/>
        <item h="1" x="821"/>
        <item h="1" x="143"/>
        <item h="1" x="137"/>
        <item h="1" x="705"/>
        <item h="1" x="520"/>
        <item h="1" x="4"/>
        <item h="1" x="596"/>
        <item h="1" x="694"/>
        <item h="1" x="779"/>
        <item h="1" x="676"/>
        <item h="1" x="144"/>
        <item h="1" x="36"/>
        <item h="1" x="439"/>
        <item h="1" x="651"/>
        <item h="1" x="41"/>
        <item h="1" x="457"/>
        <item h="1" x="440"/>
        <item h="1" x="833"/>
        <item h="1" x="613"/>
        <item h="1" x="503"/>
        <item h="1" x="210"/>
        <item h="1" x="525"/>
        <item h="1" x="865"/>
        <item h="1" x="406"/>
        <item h="1" x="873"/>
        <item h="1" x="834"/>
        <item h="1" x="262"/>
        <item h="1" x="22"/>
        <item h="1" x="102"/>
        <item h="1" x="733"/>
        <item h="1" x="902"/>
        <item h="1" x="545"/>
        <item h="1" x="533"/>
        <item h="1" x="253"/>
        <item h="1" x="665"/>
        <item h="1" x="17"/>
        <item h="1" x="352"/>
        <item h="1" x="112"/>
        <item h="1" x="656"/>
        <item h="1" x="874"/>
        <item h="1" x="706"/>
        <item h="1" x="681"/>
        <item h="1" x="275"/>
        <item h="1" x="364"/>
        <item h="1" x="504"/>
        <item h="1" x="614"/>
        <item h="1" x="784"/>
        <item h="1" x="337"/>
        <item h="1" x="668"/>
        <item h="1" x="411"/>
        <item h="1" x="126"/>
        <item h="1" x="987"/>
        <item h="1" x="995"/>
        <item h="1" x="762"/>
        <item h="1" x="249"/>
        <item h="1" x="338"/>
        <item h="1" x="308"/>
        <item h="1" x="859"/>
        <item h="1" x="287"/>
        <item h="1" x="196"/>
        <item h="1" x="903"/>
        <item h="1" x="894"/>
        <item h="1" x="293"/>
        <item h="1" x="882"/>
        <item h="1" x="962"/>
        <item h="1" x="465"/>
        <item h="1" x="416"/>
        <item h="1" x="74"/>
        <item h="1" x="157"/>
        <item h="1" x="64"/>
        <item h="1" x="929"/>
        <item h="1" x="875"/>
        <item h="1" x="822"/>
        <item h="1" x="344"/>
        <item h="1" x="963"/>
        <item h="1" x="193"/>
        <item h="1" x="391"/>
        <item h="1" x="552"/>
        <item h="1" x="215"/>
        <item h="1" x="780"/>
        <item h="1" x="920"/>
        <item h="1" x="645"/>
        <item h="1" x="572"/>
        <item h="1" x="376"/>
        <item h="1" x="983"/>
        <item h="1" x="431"/>
        <item h="1" x="889"/>
        <item h="1" x="579"/>
        <item h="1" x="188"/>
        <item h="1" x="561"/>
        <item h="1" x="477"/>
        <item h="1" x="392"/>
        <item h="1" x="542"/>
        <item h="1" x="168"/>
        <item h="1" x="553"/>
        <item h="1" x="521"/>
        <item h="1" x="449"/>
        <item h="1" x="707"/>
        <item h="1" x="57"/>
        <item h="1" x="770"/>
        <item h="1" x="154"/>
        <item h="1" x="824"/>
        <item h="1" x="811"/>
        <item h="1" x="787"/>
        <item h="1" x="679"/>
        <item h="1" x="917"/>
        <item h="1" x="796"/>
        <item h="1" x="127"/>
        <item h="1" x="756"/>
        <item h="1" x="951"/>
        <item h="1" x="835"/>
        <item h="1" x="370"/>
        <item h="1" x="825"/>
        <item h="1" x="526"/>
        <item h="1" x="81"/>
        <item h="1" x="836"/>
        <item h="1" x="955"/>
        <item h="1" x="175"/>
        <item h="1" x="615"/>
        <item h="1" x="118"/>
        <item h="1" x="812"/>
        <item h="1" x="646"/>
        <item h="1" x="772"/>
        <item h="1" x="878"/>
        <item h="1" x="562"/>
        <item h="1" x="633"/>
        <item h="1" x="921"/>
        <item h="1" x="669"/>
        <item h="1" x="237"/>
        <item h="1" x="890"/>
        <item h="1" x="417"/>
        <item h="1" x="345"/>
        <item h="1" x="353"/>
        <item h="1" x="52"/>
        <item h="1" x="490"/>
        <item h="1" x="907"/>
        <item h="1" x="483"/>
        <item h="1" x="797"/>
        <item h="1" x="747"/>
        <item h="1" x="748"/>
        <item h="1" x="65"/>
        <item h="1" x="742"/>
        <item h="1" x="972"/>
        <item h="1" x="145"/>
        <item h="1" x="119"/>
        <item h="1" x="727"/>
        <item h="1" x="5"/>
        <item h="1" x="792"/>
        <item h="1" x="219"/>
        <item h="1" x="960"/>
        <item h="1" x="113"/>
        <item h="1" x="956"/>
        <item h="1" x="814"/>
        <item h="1" x="652"/>
        <item h="1" x="323"/>
        <item h="1" x="837"/>
        <item h="1" x="471"/>
        <item h="1" x="590"/>
        <item h="1" x="250"/>
        <item h="1" x="766"/>
        <item h="1" x="597"/>
        <item h="1" x="472"/>
        <item h="1" x="458"/>
        <item h="1" x="988"/>
        <item h="1" x="776"/>
        <item h="1" x="989"/>
        <item h="1" x="511"/>
        <item h="1" x="473"/>
        <item h="1" x="283"/>
        <item h="1" x="208"/>
        <item h="1" x="37"/>
        <item h="1" x="176"/>
        <item h="1" x="734"/>
        <item h="1" x="512"/>
        <item h="1" x="12"/>
        <item h="1" x="466"/>
        <item h="1" x="365"/>
        <item h="1" x="138"/>
        <item h="1" x="964"/>
        <item h="1" x="238"/>
        <item h="1" x="591"/>
        <item h="1" x="294"/>
        <item h="1" x="462"/>
        <item h="1" x="607"/>
        <item h="1" x="860"/>
        <item h="1" x="89"/>
        <item h="1" x="957"/>
        <item h="1" x="505"/>
        <item h="1" x="708"/>
        <item h="1" x="979"/>
        <item h="1" x="653"/>
        <item h="1" x="922"/>
        <item h="1" x="443"/>
        <item h="1" x="454"/>
        <item h="1" x="263"/>
        <item h="1" x="288"/>
        <item h="1" x="53"/>
        <item h="1" x="387"/>
        <item h="1" x="270"/>
        <item h="1" x="103"/>
        <item h="1" x="303"/>
        <item h="1" x="739"/>
        <item h="1" x="930"/>
        <item h="1" x="27"/>
        <item h="1" x="319"/>
        <item h="1" x="23"/>
        <item h="1" x="690"/>
        <item h="1" x="634"/>
        <item h="1" x="895"/>
        <item h="1" x="254"/>
        <item h="1" x="686"/>
        <item h="1" x="146"/>
        <item h="1" x="182"/>
        <item h="1" x="936"/>
        <item h="1" x="534"/>
        <item h="1" x="563"/>
        <item h="1" x="580"/>
        <item h="1" x="487"/>
        <item h="1" x="120"/>
        <item h="1" x="425"/>
        <item h="1" x="177"/>
        <item h="1" x="728"/>
        <item h="1" x="197"/>
        <item h="1" x="757"/>
        <item h="1" x="680"/>
        <item h="1" x="147"/>
        <item h="1" x="178"/>
        <item h="1" x="773"/>
        <item h="1" x="320"/>
        <item h="1" x="239"/>
        <item h="1" x="657"/>
        <item h="1" x="709"/>
        <item h="1" x="382"/>
        <item h="1" x="231"/>
        <item h="1" x="6"/>
        <item h="1" x="785"/>
        <item h="1" x="346"/>
        <item h="1" x="91"/>
        <item h="1" x="488"/>
        <item h="1" x="121"/>
        <item h="1" x="855"/>
        <item h="1" x="749"/>
        <item h="1" x="735"/>
        <item h="1" x="698"/>
        <item h="1" x="220"/>
        <item h="1" x="931"/>
        <item h="1" x="114"/>
        <item h="1" x="357"/>
        <item h="1" x="232"/>
        <item h="1" x="183"/>
        <item h="1" x="444"/>
        <item h="1" x="54"/>
        <item h="1" x="658"/>
        <item h="1" x="710"/>
        <item h="1" x="721"/>
        <item h="1" x="179"/>
        <item h="1" x="324"/>
        <item h="1" x="891"/>
        <item h="1" x="923"/>
        <item h="1" x="666"/>
        <item h="1" x="581"/>
        <item h="1" x="826"/>
        <item h="1" x="866"/>
        <item h="1" x="943"/>
        <item h="1" x="546"/>
        <item h="1" x="879"/>
        <item h="1" x="201"/>
        <item h="1" x="478"/>
        <item h="1" x="933"/>
        <item h="1" x="908"/>
        <item h="1" x="24"/>
        <item h="1" x="92"/>
        <item h="1" x="758"/>
        <item h="1" x="412"/>
        <item h="1" x="932"/>
        <item h="1" x="608"/>
        <item h="1" x="513"/>
        <item h="1" x="687"/>
        <item h="1" x="155"/>
        <item h="1" x="66"/>
        <item h="1" x="522"/>
        <item h="1" x="724"/>
        <item h="1" x="251"/>
        <item h="1" x="750"/>
        <item h="1" x="896"/>
        <item h="1" x="904"/>
        <item h="1" x="180"/>
        <item h="1" x="582"/>
        <item h="1" x="844"/>
        <item h="1" x="767"/>
        <item h="1" x="909"/>
        <item h="1" x="609"/>
        <item h="1" x="99"/>
        <item h="1" x="371"/>
        <item h="1" x="514"/>
        <item h="1" x="602"/>
        <item h="1" x="867"/>
        <item h="1" x="809"/>
        <item h="1" x="400"/>
        <item h="1" x="905"/>
        <item h="1" x="751"/>
        <item h="1" x="616"/>
        <item h="1" x="441"/>
        <item h="1" x="194"/>
        <item h="1" x="868"/>
        <item h="1" x="276"/>
        <item h="1" x="937"/>
        <item h="1" x="325"/>
        <item h="1" x="70"/>
        <item h="1" x="827"/>
        <item h="1" x="432"/>
        <item h="1" x="518"/>
        <item h="1" x="216"/>
        <item h="1" x="95"/>
        <item h="1" x="85"/>
        <item h="1" x="924"/>
        <item h="1" x="880"/>
        <item h="1" x="224"/>
        <item h="1" x="621"/>
        <item h="1" x="277"/>
        <item h="1" x="659"/>
        <item h="1" x="169"/>
        <item h="1" x="198"/>
        <item h="1" x="221"/>
        <item h="1" x="640"/>
        <item h="1" x="46"/>
        <item h="1" x="800"/>
        <item h="1" x="944"/>
        <item h="1" x="128"/>
        <item h="1" x="388"/>
        <item h="1" x="845"/>
        <item h="1" x="628"/>
        <item h="1" x="377"/>
        <item h="1" x="256"/>
        <item h="1" x="813"/>
        <item h="1" x="660"/>
        <item h="1" x="996"/>
        <item h="1" x="691"/>
        <item h="1" x="883"/>
        <item h="1" x="156"/>
        <item h="1" x="527"/>
        <item h="1" x="856"/>
        <item h="1" x="913"/>
        <item h="1" x="383"/>
        <item h="1" x="426"/>
        <item h="1" x="938"/>
        <item h="1" x="309"/>
        <item h="1" x="104"/>
        <item h="1" x="246"/>
        <item h="1" x="18"/>
        <item h="1" x="255"/>
        <item h="1" x="310"/>
        <item h="1" x="910"/>
        <item h="1" x="7"/>
        <item h="1" x="635"/>
        <item h="1" x="629"/>
        <item h="1" x="75"/>
        <item h="1" x="58"/>
        <item h="1" x="211"/>
        <item h="1" x="418"/>
        <item h="1" x="740"/>
        <item h="1" x="122"/>
        <item h="1" x="378"/>
        <item h="1" x="695"/>
        <item h="1" x="791"/>
        <item h="1" x="661"/>
        <item h="1" x="807"/>
        <item h="1" x="67"/>
        <item h="1" x="925"/>
        <item h="1" x="801"/>
        <item h="1" x="38"/>
        <item h="1" x="28"/>
        <item h="1" x="76"/>
        <item h="1" x="647"/>
        <item h="1" x="158"/>
        <item h="1" x="289"/>
        <item h="1" x="358"/>
        <item h="1" x="688"/>
        <item h="1" x="161"/>
        <item h="1" x="547"/>
        <item h="1" x="897"/>
        <item h="1" x="304"/>
        <item h="1" x="965"/>
        <item h="1" x="105"/>
        <item h="1" x="496"/>
        <item h="1" x="846"/>
        <item h="1" x="264"/>
        <item h="1" x="892"/>
        <item h="1" x="566"/>
        <item h="1" x="413"/>
        <item h="1" x="592"/>
        <item h="1" x="548"/>
        <item h="1" x="567"/>
        <item h="1" x="162"/>
        <item h="1" x="269"/>
        <item h="1" x="429"/>
        <item h="1" x="484"/>
        <item h="1" x="240"/>
        <item h="1" x="966"/>
        <item h="1" x="519"/>
        <item h="1" x="945"/>
        <item h="1" x="401"/>
        <item h="1" x="642"/>
        <item h="1" x="25"/>
        <item h="1" x="463"/>
        <item h="1" x="603"/>
        <item h="1" x="379"/>
        <item h="1" x="339"/>
        <item h="1" x="515"/>
        <item h="1" x="946"/>
        <item h="1" x="990"/>
        <item h="1" x="997"/>
        <item h="1" x="172"/>
        <item h="1" x="788"/>
        <item h="1" x="354"/>
        <item h="1" x="311"/>
        <item h="1" x="148"/>
        <item h="1" x="106"/>
        <item h="1" x="818"/>
        <item h="1" x="479"/>
        <item h="1" x="741"/>
        <item h="1" x="189"/>
        <item h="1" x="393"/>
        <item h="1" x="252"/>
        <item h="1" x="419"/>
        <item h="1" x="911"/>
        <item h="1" x="366"/>
        <item h="1" x="682"/>
        <item h="1" x="568"/>
        <item h="1" x="838"/>
        <item h="1" x="77"/>
        <item h="1" x="630"/>
        <item h="1" x="271"/>
        <item h="1" x="184"/>
        <item h="1" x="506"/>
        <item h="1" x="636"/>
        <item h="1" x="247"/>
        <item h="1" x="998"/>
        <item h="1" x="884"/>
        <item h="1" x="714"/>
        <item h="1" x="729"/>
        <item h="1" x="86"/>
        <item h="1" x="47"/>
        <item h="1" x="78"/>
        <item h="1" x="485"/>
        <item h="1" x="347"/>
        <item h="1" x="715"/>
        <item h="1" x="573"/>
        <item h="1" x="622"/>
        <item h="1" x="583"/>
        <item h="1" x="414"/>
        <item h="1" x="222"/>
        <item h="1" x="815"/>
        <item h="1" x="947"/>
        <item h="1" x="129"/>
        <item h="1" x="535"/>
        <item h="1" x="574"/>
        <item h="1" x="876"/>
        <item h="1" x="26"/>
        <item h="1" x="295"/>
        <item h="1" x="296"/>
        <item h="1" x="433"/>
        <item h="1" x="617"/>
        <item h="1" x="536"/>
        <item h="1" x="340"/>
        <item h="1" x="29"/>
        <item h="1" x="467"/>
        <item h="1" x="618"/>
        <item h="1" x="241"/>
        <item h="1" x="847"/>
        <item h="1" x="789"/>
        <item h="1" x="730"/>
        <item h="1" x="991"/>
        <item h="1" x="610"/>
        <item h="1" x="549"/>
        <item h="1" x="598"/>
        <item h="1" x="611"/>
        <item h="1" x="450"/>
        <item h="1" x="768"/>
        <item h="1" x="497"/>
        <item h="1" x="173"/>
        <item h="1" x="149"/>
        <item h="1" x="123"/>
        <item h="1" x="115"/>
        <item h="1" x="486"/>
        <item h="1" x="272"/>
        <item h="1" x="777"/>
        <item h="1" x="380"/>
        <item h="1" x="848"/>
        <item h="1" x="849"/>
        <item h="1" x="79"/>
        <item h="1" x="163"/>
        <item h="1" x="13"/>
        <item h="1" x="480"/>
        <item h="1" x="87"/>
        <item h="1" x="59"/>
        <item h="1" x="528"/>
        <item h="1" x="752"/>
        <item h="1" x="736"/>
        <item h="1" x="839"/>
        <item h="1" x="967"/>
        <item h="1" x="786"/>
        <item h="1" x="217"/>
        <item h="1" x="402"/>
        <item h="1" x="699"/>
        <item h="1" x="537"/>
        <item h="1" x="107"/>
        <item h="1" x="763"/>
        <item h="1" x="459"/>
        <item h="1" x="367"/>
        <item h="1" x="80"/>
        <item h="1" x="133"/>
        <item h="1" x="491"/>
        <item h="1" x="451"/>
        <item h="1" x="164"/>
        <item h="1" x="203"/>
        <item h="1" x="108"/>
        <item h="1" x="861"/>
        <item h="1" x="538"/>
        <item h="1" x="599"/>
        <item h="1" x="71"/>
        <item h="1" x="312"/>
        <item h="1" x="297"/>
        <item h="1" x="134"/>
        <item h="1" x="934"/>
        <item h="1" x="850"/>
        <item h="1" x="692"/>
        <item h="1" x="637"/>
        <item h="1" x="60"/>
        <item h="1" x="109"/>
        <item h="1" x="321"/>
        <item h="1" x="722"/>
        <item h="1" x="233"/>
        <item h="1" x="93"/>
        <item h="1" x="939"/>
        <item h="1" x="190"/>
        <item h="1" x="30"/>
        <item h="1" x="445"/>
        <item h="1" x="165"/>
        <item h="1" x="442"/>
        <item h="1" x="992"/>
        <item h="1" x="529"/>
        <item h="1" x="481"/>
        <item h="1" x="185"/>
        <item h="1" x="926"/>
        <item h="1" x="42"/>
        <item h="1" x="585"/>
        <item h="1" x="492"/>
        <item h="1" x="918"/>
        <item h="1" x="474"/>
        <item h="1" x="359"/>
        <item h="1" x="700"/>
        <item h="1" x="396"/>
        <item h="1" x="731"/>
        <item h="1" x="557"/>
        <item h="1" x="701"/>
        <item h="1" x="355"/>
        <item h="1" x="61"/>
        <item h="1" x="641"/>
        <item h="1" x="278"/>
        <item h="1" x="948"/>
        <item h="1" x="55"/>
        <item h="1" x="265"/>
        <item h="1" x="877"/>
        <item h="1" x="523"/>
        <item h="1" x="407"/>
        <item h="1" x="781"/>
        <item h="1" x="234"/>
        <item h="1" x="446"/>
        <item h="1" x="475"/>
        <item h="1" x="631"/>
        <item h="1" x="248"/>
        <item h="1" x="973"/>
        <item h="1" x="711"/>
        <item h="1" x="654"/>
        <item h="1" x="124"/>
        <item h="1" x="300"/>
        <item h="1" x="575"/>
        <item h="1" x="619"/>
        <item h="1" x="14"/>
        <item h="1" x="170"/>
        <item h="1" x="110"/>
        <item h="1" x="242"/>
        <item h="1" x="530"/>
        <item h="1" x="48"/>
        <item h="1" x="305"/>
        <item h="1" x="702"/>
        <item h="1" x="712"/>
        <item h="1" x="564"/>
        <item h="1" x="56"/>
        <item h="1" x="498"/>
        <item h="1" x="43"/>
        <item h="1" x="830"/>
        <item h="1" x="191"/>
        <item h="1" x="716"/>
        <item h="1" x="802"/>
        <item h="1" x="257"/>
        <item h="1" x="769"/>
        <item h="1" x="919"/>
        <item h="1" x="447"/>
        <item h="1" x="793"/>
        <item h="1" x="150"/>
        <item h="1" x="279"/>
        <item h="1" x="906"/>
        <item h="1" x="19"/>
        <item h="1" x="620"/>
        <item h="1" x="980"/>
        <item h="1" x="655"/>
        <item h="1" x="306"/>
        <item h="1" x="333"/>
        <item h="1" x="974"/>
        <item h="1" x="384"/>
        <item h="1" x="8"/>
        <item h="1" x="195"/>
        <item h="1" x="326"/>
        <item h="1" x="683"/>
        <item h="1" x="840"/>
        <item h="1" x="116"/>
        <item h="1" x="501"/>
        <item h="1" x="831"/>
        <item h="1" x="984"/>
        <item h="1" x="593"/>
        <item h="1" x="803"/>
        <item h="1" x="368"/>
        <item h="1" x="360"/>
        <item h="1" x="348"/>
        <item h="1" x="576"/>
        <item h="1" x="181"/>
        <item h="1" x="632"/>
        <item h="1" x="927"/>
        <item h="1" x="313"/>
        <item h="1" x="49"/>
        <item h="1" x="638"/>
        <item h="1" x="135"/>
        <item h="1" x="363"/>
        <item h="1" x="798"/>
        <item h="1" x="623"/>
        <item h="1" x="893"/>
        <item h="1" x="958"/>
        <item h="1" x="159"/>
        <item h="1" x="284"/>
        <item h="1" x="397"/>
        <item h="1" x="677"/>
        <item h="1" x="851"/>
        <item h="1" x="389"/>
        <item h="1" x="356"/>
        <item h="1" x="280"/>
        <item h="1" x="334"/>
        <item h="1" x="531"/>
        <item h="1" x="952"/>
        <item h="1" x="703"/>
        <item h="1" x="507"/>
        <item h="1" x="285"/>
        <item h="1" x="82"/>
        <item h="1" x="643"/>
        <item h="1" x="427"/>
        <item h="1" x="753"/>
        <item h="1" x="670"/>
        <item h="1" x="307"/>
        <item h="1" x="455"/>
        <item h="1" x="975"/>
        <item h="1" x="20"/>
        <item h="1" x="648"/>
        <item h="1" x="885"/>
        <item h="1" x="202"/>
        <item h="1" x="381"/>
        <item h="1" x="717"/>
        <item h="1" x="327"/>
        <item h="1" x="673"/>
        <item h="1" x="372"/>
        <item h="1" x="898"/>
        <item h="1" x="235"/>
        <item h="1" x="612"/>
        <item h="1" x="869"/>
        <item h="1" x="369"/>
        <item h="1" x="558"/>
        <item h="1" x="743"/>
        <item h="1" x="985"/>
        <item h="1" x="273"/>
        <item h="1" x="448"/>
        <item h="1" x="981"/>
        <item h="1" x="969"/>
        <item h="1" x="993"/>
        <item h="1" x="243"/>
        <item h="1" x="468"/>
        <item h="1" x="899"/>
        <item h="1" x="790"/>
        <item h="1" x="662"/>
        <item h="1" x="9"/>
        <item h="1" x="139"/>
        <item h="1" x="624"/>
        <item h="1" x="764"/>
        <item h="1" x="586"/>
        <item h="1" x="394"/>
        <item h="1" x="437"/>
        <item h="1" x="96"/>
        <item h="1" x="718"/>
        <item h="1" x="594"/>
        <item h="1" x="469"/>
        <item h="1" x="693"/>
        <item h="1" x="266"/>
        <item h="1" x="420"/>
        <item h="1" x="713"/>
        <item h="1" x="862"/>
        <item h="1" x="428"/>
        <item h="1" x="111"/>
        <item h="1" x="166"/>
        <item h="1" x="949"/>
        <item h="1" x="863"/>
        <item h="1" x="852"/>
        <item h="1" x="204"/>
        <item h="1" x="328"/>
        <item h="1" x="804"/>
        <item h="1" x="390"/>
        <item h="1" x="314"/>
        <item h="1" x="737"/>
        <item h="1" x="970"/>
        <item h="1" x="298"/>
        <item h="1" x="853"/>
        <item h="1" x="994"/>
        <item h="1" x="434"/>
        <item h="1" x="430"/>
        <item h="1" x="823"/>
        <item h="1" x="828"/>
        <item h="1" x="959"/>
        <item h="1" x="870"/>
        <item h="1" x="744"/>
        <item h="1" x="415"/>
        <item h="1" x="900"/>
        <item h="1" x="464"/>
        <item h="1" x="540"/>
        <item h="1" x="349"/>
        <item h="1" x="336"/>
        <item h="1" x="732"/>
        <item h="1" x="258"/>
        <item h="1" x="385"/>
        <item h="1" x="940"/>
        <item h="1" x="267"/>
        <item h="1" x="403"/>
        <item h="1" x="223"/>
        <item h="1" x="782"/>
        <item h="1" x="704"/>
        <item h="1" x="587"/>
        <item h="1" x="976"/>
        <item h="1" x="663"/>
        <item h="1" x="999"/>
        <item h="1" x="516"/>
        <item h="1" x="373"/>
        <item h="1" x="461"/>
        <item h="1" x="482"/>
        <item h="1" x="600"/>
        <item h="1" x="604"/>
        <item h="1" x="452"/>
        <item h="1" x="341"/>
        <item h="1" x="832"/>
        <item h="1" x="286"/>
        <item h="1" x="554"/>
        <item h="1" x="886"/>
        <item h="1" x="649"/>
        <item h="1" x="10"/>
        <item h="1" x="244"/>
        <item h="1" x="408"/>
        <item h="1" x="335"/>
        <item h="1" x="11"/>
        <item h="1" x="409"/>
        <item h="1" x="68"/>
        <item h="1" x="550"/>
        <item h="1" x="551"/>
        <item h="1" x="227"/>
        <item h="1" x="539"/>
        <item h="1" x="361"/>
        <item h="1" x="759"/>
        <item h="1" x="31"/>
        <item h="1" x="725"/>
        <item h="1" x="39"/>
        <item h="1" x="532"/>
        <item h="1" x="559"/>
        <item h="1" x="167"/>
        <item h="1" x="569"/>
        <item h="1" x="857"/>
        <item h="1" x="192"/>
        <item h="1" x="914"/>
        <item h="1" x="44"/>
        <item h="1" x="136"/>
        <item h="1" x="395"/>
        <item h="1" x="650"/>
        <item h="1" x="421"/>
        <item h="1" x="225"/>
        <item h="1" x="774"/>
        <item h="1" x="228"/>
        <item h="1" x="130"/>
        <item h="1" x="493"/>
        <item h="1" x="977"/>
        <item h="1" x="674"/>
        <item h="1" x="887"/>
        <item h="1" x="605"/>
        <item h="1" x="499"/>
        <item h="1" x="953"/>
        <item h="1" x="476"/>
        <item h="1" x="301"/>
        <item h="1" x="21"/>
        <item h="1" x="62"/>
        <item h="1" x="438"/>
        <item h="1" x="517"/>
        <item h="1" x="259"/>
        <item h="1" x="404"/>
        <item h="1" x="456"/>
        <item h="1" x="494"/>
        <item h="1" x="140"/>
        <item h="1" x="281"/>
        <item h="1" x="689"/>
        <item h="1" x="460"/>
        <item h="1" x="671"/>
        <item h="1" x="738"/>
        <item h="1" x="888"/>
        <item h="1" x="422"/>
        <item h="1" x="765"/>
        <item h="1" x="131"/>
        <item h="1" x="315"/>
        <item h="1" x="32"/>
        <item h="1" x="45"/>
        <item h="1" x="745"/>
        <item t="default"/>
      </items>
    </pivotField>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dataField="1" showAll="0">
      <items count="994">
        <item h="1" x="416"/>
        <item h="1" x="438"/>
        <item h="1" x="417"/>
        <item h="1" x="219"/>
        <item h="1" x="196"/>
        <item h="1" x="699"/>
        <item h="1" x="410"/>
        <item h="1" x="476"/>
        <item h="1" x="661"/>
        <item h="1" x="536"/>
        <item h="1" x="159"/>
        <item h="1" x="102"/>
        <item h="1" x="494"/>
        <item h="1" x="690"/>
        <item h="1" x="60"/>
        <item h="1" x="563"/>
        <item h="1" x="382"/>
        <item h="1" x="96"/>
        <item h="1" x="304"/>
        <item h="1" x="80"/>
        <item h="1" x="892"/>
        <item h="1" x="408"/>
        <item h="1" x="649"/>
        <item h="1" x="942"/>
        <item h="1" x="470"/>
        <item h="1" x="7"/>
        <item h="1" x="984"/>
        <item h="1" x="361"/>
        <item h="1" x="605"/>
        <item h="1" x="498"/>
        <item h="1" x="675"/>
        <item h="1" x="793"/>
        <item h="1" x="603"/>
        <item h="1" x="423"/>
        <item h="1" x="142"/>
        <item h="1" x="447"/>
        <item h="1" x="906"/>
        <item h="1" x="422"/>
        <item h="1" x="278"/>
        <item h="1" x="307"/>
        <item h="1" x="695"/>
        <item h="1" x="87"/>
        <item h="1" x="817"/>
        <item h="1" x="109"/>
        <item h="1" x="617"/>
        <item h="1" x="692"/>
        <item h="1" x="988"/>
        <item h="1" x="656"/>
        <item h="1" x="11"/>
        <item h="1" x="517"/>
        <item h="1" x="630"/>
        <item h="1" x="243"/>
        <item h="1" x="707"/>
        <item h="1" x="937"/>
        <item h="1" x="769"/>
        <item h="1" x="920"/>
        <item h="1" x="790"/>
        <item h="1" x="375"/>
        <item h="1" x="590"/>
        <item h="1" x="800"/>
        <item h="1" x="294"/>
        <item h="1" x="274"/>
        <item h="1" x="873"/>
        <item h="1" x="235"/>
        <item h="1" x="734"/>
        <item h="1" x="612"/>
        <item h="1" x="753"/>
        <item h="1" x="928"/>
        <item h="1" x="704"/>
        <item h="1" x="921"/>
        <item h="1" x="970"/>
        <item h="1" x="186"/>
        <item h="1" x="293"/>
        <item h="1" x="233"/>
        <item h="1" x="910"/>
        <item h="1" x="276"/>
        <item h="1" x="99"/>
        <item h="1" x="718"/>
        <item h="1" x="201"/>
        <item h="1" x="4"/>
        <item h="1" x="814"/>
        <item h="1" x="348"/>
        <item h="1" x="796"/>
        <item h="1" x="747"/>
        <item h="1" x="592"/>
        <item h="1" x="840"/>
        <item h="1" x="724"/>
        <item h="1" x="957"/>
        <item h="1" x="530"/>
        <item h="1" x="804"/>
        <item h="1" x="242"/>
        <item h="1" x="943"/>
        <item h="1" x="645"/>
        <item h="1" x="331"/>
        <item h="1" x="406"/>
        <item h="1" x="358"/>
        <item h="1" x="377"/>
        <item h="1" x="325"/>
        <item h="1" x="687"/>
        <item h="1" x="427"/>
        <item h="1" x="465"/>
        <item h="1" x="565"/>
        <item h="1" x="730"/>
        <item h="1" x="318"/>
        <item h="1" x="732"/>
        <item h="1" x="580"/>
        <item h="1" x="685"/>
        <item h="1" x="174"/>
        <item h="1" x="442"/>
        <item h="1" x="600"/>
        <item h="1" x="664"/>
        <item h="1" x="63"/>
        <item h="1" x="457"/>
        <item h="1" x="231"/>
        <item h="1" x="659"/>
        <item h="1" x="110"/>
        <item h="1" x="399"/>
        <item h="1" x="651"/>
        <item h="1" x="177"/>
        <item h="1" x="133"/>
        <item h="1" x="891"/>
        <item h="1" x="888"/>
        <item h="1" x="712"/>
        <item h="1" x="334"/>
        <item h="1" x="329"/>
        <item h="1" x="694"/>
        <item h="1" x="296"/>
        <item h="1" x="940"/>
        <item h="1" x="760"/>
        <item h="1" x="9"/>
        <item h="1" x="980"/>
        <item h="1" x="487"/>
        <item h="1" x="463"/>
        <item h="1" x="554"/>
        <item h="1" x="851"/>
        <item h="1" x="955"/>
        <item h="1" x="280"/>
        <item h="1" x="249"/>
        <item h="1" x="763"/>
        <item h="1" x="300"/>
        <item h="1" x="696"/>
        <item h="1" x="887"/>
        <item h="1" x="981"/>
        <item h="1" x="197"/>
        <item h="1" x="25"/>
        <item h="1" x="918"/>
        <item h="1" x="493"/>
        <item h="1" x="209"/>
        <item h="1" x="350"/>
        <item h="1" x="669"/>
        <item h="1" x="30"/>
        <item h="1" x="91"/>
        <item h="1" x="480"/>
        <item h="1" x="934"/>
        <item h="1" x="982"/>
        <item h="1" x="823"/>
        <item h="1" x="679"/>
        <item h="1" x="610"/>
        <item h="1" x="303"/>
        <item h="1" x="989"/>
        <item h="1" x="239"/>
        <item h="1" x="680"/>
        <item h="1" x="865"/>
        <item h="1" x="35"/>
        <item h="1" x="673"/>
        <item h="1" x="947"/>
        <item h="1" x="119"/>
        <item h="1" x="665"/>
        <item h="1" x="930"/>
        <item h="1" x="283"/>
        <item h="1" x="631"/>
        <item h="1" x="809"/>
        <item h="1" x="510"/>
        <item h="1" x="568"/>
        <item h="1" x="925"/>
        <item h="1" x="321"/>
        <item h="1" x="676"/>
        <item h="1" x="511"/>
        <item h="1" x="134"/>
        <item h="1" x="32"/>
        <item h="1" x="344"/>
        <item h="1" x="282"/>
        <item h="1" x="71"/>
        <item h="1" x="21"/>
        <item h="1" x="49"/>
        <item h="1" x="66"/>
        <item h="1" x="598"/>
        <item h="1" x="33"/>
        <item h="1" x="364"/>
        <item h="1" x="677"/>
        <item h="1" x="319"/>
        <item h="1" x="324"/>
        <item h="1" x="65"/>
        <item h="1" x="407"/>
        <item h="1" x="459"/>
        <item h="1" x="118"/>
        <item h="1" x="23"/>
        <item h="1" x="543"/>
        <item h="1" x="355"/>
        <item h="1" x="92"/>
        <item h="1" x="834"/>
        <item h="1" x="779"/>
        <item h="1" x="129"/>
        <item h="1" x="683"/>
        <item h="1" x="739"/>
        <item h="1" x="433"/>
        <item h="1" x="310"/>
        <item h="1" x="979"/>
        <item h="1" x="14"/>
        <item h="1" x="171"/>
        <item h="1" x="531"/>
        <item h="1" x="237"/>
        <item h="1" x="666"/>
        <item h="1" x="919"/>
        <item h="1" x="272"/>
        <item h="1" x="401"/>
        <item h="1" x="450"/>
        <item h="1" x="436"/>
        <item h="1" x="74"/>
        <item h="1" x="847"/>
        <item h="1" x="88"/>
        <item h="1" x="897"/>
        <item h="1" x="264"/>
        <item h="1" x="684"/>
        <item h="1" x="853"/>
        <item h="1" x="180"/>
        <item h="1" x="279"/>
        <item h="1" x="187"/>
        <item h="1" x="524"/>
        <item h="1" x="956"/>
        <item h="1" x="15"/>
        <item h="1" x="273"/>
        <item h="1" x="771"/>
        <item h="1" x="374"/>
        <item h="1" x="425"/>
        <item h="1" x="26"/>
        <item h="1" x="452"/>
        <item h="1" x="602"/>
        <item h="1" x="538"/>
        <item h="1" x="759"/>
        <item h="1" x="893"/>
        <item h="1" x="492"/>
        <item h="1" x="481"/>
        <item h="1" x="429"/>
        <item h="1" x="78"/>
        <item h="1" x="756"/>
        <item h="1" x="256"/>
        <item h="1" x="827"/>
        <item h="1" x="43"/>
        <item h="1" x="963"/>
        <item h="1" x="577"/>
        <item h="1" x="245"/>
        <item h="1" x="405"/>
        <item h="1" x="638"/>
        <item h="1" x="582"/>
        <item h="1" x="544"/>
        <item h="1" x="904"/>
        <item h="1" x="254"/>
        <item h="1" x="398"/>
        <item h="1" x="299"/>
        <item h="1" x="426"/>
        <item h="1" x="131"/>
        <item h="1" x="246"/>
        <item h="1" x="832"/>
        <item h="1" x="106"/>
        <item h="1" x="863"/>
        <item h="1" x="927"/>
        <item h="1" x="152"/>
        <item h="1" x="949"/>
        <item h="1" x="702"/>
        <item h="1" x="839"/>
        <item h="1" x="901"/>
        <item h="1" x="77"/>
        <item h="1" x="899"/>
        <item h="1" x="689"/>
        <item h="1" x="376"/>
        <item h="1" x="312"/>
        <item h="1" x="359"/>
        <item h="1" x="48"/>
        <item h="1" x="757"/>
        <item h="1" x="166"/>
        <item h="1" x="717"/>
        <item h="1" x="143"/>
        <item h="1" x="737"/>
        <item h="1" x="721"/>
        <item h="1" x="972"/>
        <item h="1" x="415"/>
        <item h="1" x="829"/>
        <item h="1" x="711"/>
        <item h="1" x="774"/>
        <item h="1" x="567"/>
        <item h="1" x="451"/>
        <item h="1" x="516"/>
        <item h="1" x="846"/>
        <item h="1" x="743"/>
        <item h="1" x="719"/>
        <item h="1" x="262"/>
        <item h="1" x="597"/>
        <item h="1" x="542"/>
        <item h="1" x="20"/>
        <item h="1" x="611"/>
        <item h="1" x="202"/>
        <item h="1" x="380"/>
        <item h="1" x="170"/>
        <item h="1" x="504"/>
        <item h="1" x="662"/>
        <item h="1" x="810"/>
        <item h="1" x="446"/>
        <item h="1" x="959"/>
        <item h="1" x="3"/>
        <item h="1" x="372"/>
        <item h="1" x="53"/>
        <item h="1" x="206"/>
        <item h="1" x="632"/>
        <item h="1" x="641"/>
        <item h="1" x="86"/>
        <item h="1" x="439"/>
        <item h="1" x="10"/>
        <item h="1" x="668"/>
        <item h="1" x="960"/>
        <item h="1" x="306"/>
        <item h="1" x="138"/>
        <item h="1" x="368"/>
        <item h="1" x="182"/>
        <item h="1" x="114"/>
        <item h="1" x="83"/>
        <item h="1" x="571"/>
        <item h="1" x="229"/>
        <item h="1" x="153"/>
        <item h="1" x="108"/>
        <item h="1" x="503"/>
        <item h="1" x="16"/>
        <item h="1" x="485"/>
        <item h="1" x="263"/>
        <item h="1" x="362"/>
        <item h="1" x="985"/>
        <item h="1" x="548"/>
        <item h="1" x="674"/>
        <item h="1" x="670"/>
        <item h="1" x="522"/>
        <item h="1" x="289"/>
        <item h="1" x="444"/>
        <item h="1" x="141"/>
        <item h="1" x="483"/>
        <item h="1" x="224"/>
        <item h="1" x="466"/>
        <item h="1" x="352"/>
        <item h="1" x="412"/>
        <item h="1" x="19"/>
        <item h="1" x="139"/>
        <item h="1" x="623"/>
        <item h="1" x="857"/>
        <item h="1" x="723"/>
        <item h="1" x="584"/>
        <item h="1" x="38"/>
        <item h="1" x="625"/>
        <item h="1" x="647"/>
        <item h="1" x="338"/>
        <item h="1" x="633"/>
        <item h="1" x="95"/>
        <item h="1" x="962"/>
        <item h="1" x="230"/>
        <item h="1" x="351"/>
        <item h="1" x="607"/>
        <item h="1" x="868"/>
        <item h="1" x="708"/>
        <item h="1" x="876"/>
        <item h="1" x="156"/>
        <item h="1" x="215"/>
        <item h="1" x="68"/>
        <item h="1" x="703"/>
        <item h="1" x="561"/>
        <item h="1" x="301"/>
        <item h="1" x="500"/>
        <item h="1" x="82"/>
        <item h="1" x="258"/>
        <item h="1" x="204"/>
        <item h="1" x="195"/>
        <item h="1" x="826"/>
        <item h="1" x="636"/>
        <item h="1" x="314"/>
        <item h="1" x="733"/>
        <item h="1" x="458"/>
        <item x="836"/>
        <item h="1" x="882"/>
        <item h="1" x="964"/>
        <item h="1" x="557"/>
        <item h="1" x="845"/>
        <item h="1" x="58"/>
        <item h="1" x="69"/>
        <item h="1" x="397"/>
        <item h="1" x="414"/>
        <item h="1" x="421"/>
        <item h="1" x="965"/>
        <item h="1" x="322"/>
        <item h="1" x="852"/>
        <item h="1" x="345"/>
        <item h="1" x="635"/>
        <item h="1" x="885"/>
        <item h="1" x="473"/>
        <item h="1" x="824"/>
        <item h="1" x="181"/>
        <item h="1" x="477"/>
        <item h="1" x="227"/>
        <item h="1" x="766"/>
        <item h="1" x="207"/>
        <item h="1" x="124"/>
        <item h="1" x="486"/>
        <item h="1" x="564"/>
        <item h="1" x="609"/>
        <item h="1" x="974"/>
        <item h="1" x="223"/>
        <item h="1" x="950"/>
        <item h="1" x="941"/>
        <item h="1" x="93"/>
        <item h="1" x="161"/>
        <item h="1" x="870"/>
        <item h="1" x="506"/>
        <item h="1" x="460"/>
        <item h="1" x="634"/>
        <item h="1" x="913"/>
        <item h="1" x="583"/>
        <item h="1" x="22"/>
        <item h="1" x="570"/>
        <item h="1" x="491"/>
        <item h="1" x="440"/>
        <item h="1" x="373"/>
        <item h="1" x="622"/>
        <item h="1" x="722"/>
        <item h="1" x="357"/>
        <item h="1" x="241"/>
        <item h="1" x="556"/>
        <item h="1" x="434"/>
        <item h="1" x="308"/>
        <item h="1" x="365"/>
        <item h="1" x="742"/>
        <item h="1" x="430"/>
        <item h="1" x="228"/>
        <item h="1" x="854"/>
        <item h="1" x="381"/>
        <item h="1" x="277"/>
        <item h="1" x="750"/>
        <item h="1" x="541"/>
        <item h="1" x="515"/>
        <item h="1" x="710"/>
        <item h="1" x="367"/>
        <item h="1" x="388"/>
        <item h="1" x="164"/>
        <item h="1" x="47"/>
        <item h="1" x="821"/>
        <item h="1" x="922"/>
        <item h="1" x="370"/>
        <item h="1" x="848"/>
        <item h="1" x="818"/>
        <item h="1" x="441"/>
        <item h="1" x="175"/>
        <item h="1" x="240"/>
        <item h="1" x="178"/>
        <item h="1" x="340"/>
        <item h="1" x="574"/>
        <item h="1" x="720"/>
        <item h="1" x="313"/>
        <item h="1" x="311"/>
        <item h="1" x="678"/>
        <item h="1" x="292"/>
        <item h="1" x="98"/>
        <item h="1" x="765"/>
        <item h="1" x="404"/>
        <item h="1" x="411"/>
        <item h="1" x="614"/>
        <item h="1" x="59"/>
        <item h="1" x="660"/>
        <item h="1" x="286"/>
        <item h="1" x="253"/>
        <item h="1" x="297"/>
        <item h="1" x="977"/>
        <item h="1" x="844"/>
        <item h="1" x="806"/>
        <item h="1" x="155"/>
        <item h="1" x="449"/>
        <item h="1" x="42"/>
        <item h="1" x="871"/>
        <item h="1" x="403"/>
        <item h="1" x="889"/>
        <item h="1" x="151"/>
        <item h="1" x="745"/>
        <item h="1" x="505"/>
        <item h="1" x="627"/>
        <item h="1" x="445"/>
        <item h="1" x="525"/>
        <item h="1" x="507"/>
        <item h="1" x="903"/>
        <item h="1" x="858"/>
        <item h="1" x="214"/>
        <item h="1" x="333"/>
        <item h="1" x="157"/>
        <item h="1" x="898"/>
        <item h="1" x="637"/>
        <item h="1" x="120"/>
        <item h="1" x="681"/>
        <item h="1" x="117"/>
        <item h="1" x="816"/>
        <item h="1" x="353"/>
        <item h="1" x="751"/>
        <item h="1" x="37"/>
        <item h="1" x="122"/>
        <item h="1" x="628"/>
        <item h="1" x="562"/>
        <item h="1" x="502"/>
        <item h="1" x="780"/>
        <item h="1" x="471"/>
        <item h="1" x="150"/>
        <item h="1" x="658"/>
        <item h="1" x="856"/>
        <item h="1" x="874"/>
        <item h="1" x="255"/>
        <item h="1" x="535"/>
        <item h="1" x="479"/>
        <item h="1" x="366"/>
        <item h="1" x="330"/>
        <item h="1" x="453"/>
        <item h="1" x="815"/>
        <item h="1" x="948"/>
        <item h="1" x="714"/>
        <item h="1" x="210"/>
        <item h="1" x="512"/>
        <item h="1" x="191"/>
        <item h="1" x="135"/>
        <item h="1" x="585"/>
        <item h="1" x="275"/>
        <item h="1" x="523"/>
        <item h="1" x="489"/>
        <item h="1" x="916"/>
        <item h="1" x="31"/>
        <item h="1" x="474"/>
        <item h="1" x="168"/>
        <item h="1" x="490"/>
        <item h="1" x="867"/>
        <item h="1" x="828"/>
        <item h="1" x="221"/>
        <item h="1" x="328"/>
        <item h="1" x="783"/>
        <item h="1" x="706"/>
        <item h="1" x="335"/>
        <item h="1" x="513"/>
        <item h="1" x="336"/>
        <item h="1" x="961"/>
        <item h="1" x="395"/>
        <item h="1" x="39"/>
        <item h="1" x="886"/>
        <item h="1" x="550"/>
        <item h="1" x="287"/>
        <item h="1" x="604"/>
        <item h="1" x="521"/>
        <item h="1" x="902"/>
        <item h="1" x="448"/>
        <item h="1" x="744"/>
        <item h="1" x="671"/>
        <item h="1" x="731"/>
        <item h="1" x="579"/>
        <item h="1" x="360"/>
        <item h="1" x="18"/>
        <item h="1" x="773"/>
        <item h="1" x="559"/>
        <item h="1" x="127"/>
        <item h="1" x="802"/>
        <item h="1" x="861"/>
        <item h="1" x="385"/>
        <item h="1" x="772"/>
        <item h="1" x="317"/>
        <item h="1" x="323"/>
        <item h="1" x="194"/>
        <item h="1" x="754"/>
        <item h="1" x="883"/>
        <item h="1" x="907"/>
        <item h="1" x="619"/>
        <item h="1" x="663"/>
        <item h="1" x="518"/>
        <item h="1" x="798"/>
        <item h="1" x="866"/>
        <item h="1" x="822"/>
        <item h="1" x="764"/>
        <item h="1" x="147"/>
        <item h="1" x="933"/>
        <item h="1" x="781"/>
        <item h="1" x="270"/>
        <item h="1" x="126"/>
        <item h="1" x="45"/>
        <item h="1" x="132"/>
        <item h="1" x="755"/>
        <item h="1" x="738"/>
        <item h="1" x="601"/>
        <item h="1" x="894"/>
        <item h="1" x="813"/>
        <item h="1" x="123"/>
        <item h="1" x="573"/>
        <item h="1" x="869"/>
        <item h="1" x="67"/>
        <item h="1" x="36"/>
        <item h="1" x="105"/>
        <item h="1" x="945"/>
        <item h="1" x="968"/>
        <item h="1" x="527"/>
        <item h="1" x="420"/>
        <item h="1" x="162"/>
        <item h="1" x="549"/>
        <item h="1" x="320"/>
        <item h="1" x="908"/>
        <item h="1" x="990"/>
        <item h="1" x="785"/>
        <item h="1" x="900"/>
        <item h="1" x="267"/>
        <item h="1" x="778"/>
        <item h="1" x="926"/>
        <item h="1" x="807"/>
        <item h="1" x="594"/>
        <item h="1" x="464"/>
        <item h="1" x="593"/>
        <item h="1" x="624"/>
        <item h="1" x="437"/>
        <item h="1" x="154"/>
        <item h="1" x="165"/>
        <item h="1" x="971"/>
        <item h="1" x="121"/>
        <item h="1" x="795"/>
        <item h="1" x="686"/>
        <item h="1" x="418"/>
        <item h="1" x="384"/>
        <item h="1" x="508"/>
        <item h="1" x="991"/>
        <item h="1" x="640"/>
        <item h="1" x="905"/>
        <item h="1" x="546"/>
        <item h="1" x="849"/>
        <item h="1" x="111"/>
        <item h="1" x="29"/>
        <item h="1" x="73"/>
        <item h="1" x="2"/>
        <item h="1" x="643"/>
        <item h="1" x="347"/>
        <item h="1" x="752"/>
        <item h="1" x="496"/>
        <item h="1" x="701"/>
        <item h="1" x="519"/>
        <item h="1" x="57"/>
        <item h="1" x="735"/>
        <item h="1" x="642"/>
        <item h="1" x="620"/>
        <item h="1" x="85"/>
        <item h="1" x="761"/>
        <item h="1" x="94"/>
        <item h="1" x="569"/>
        <item h="1" x="247"/>
        <item h="1" x="859"/>
        <item h="1" x="81"/>
        <item h="1" x="298"/>
        <item h="1" x="667"/>
        <item h="1" x="443"/>
        <item h="1" x="354"/>
        <item h="1" x="137"/>
        <item h="1" x="475"/>
        <item h="1" x="862"/>
        <item h="1" x="976"/>
        <item h="1" x="495"/>
        <item h="1" x="112"/>
        <item h="1" x="552"/>
        <item h="1" x="547"/>
        <item h="1" x="75"/>
        <item h="1" x="40"/>
        <item h="1" x="588"/>
        <item h="1" x="259"/>
        <item h="1" x="833"/>
        <item h="1" x="468"/>
        <item h="1" x="801"/>
        <item h="1" x="192"/>
        <item h="1" x="428"/>
        <item h="1" x="1"/>
        <item h="1" x="173"/>
        <item h="1" x="768"/>
        <item h="1" x="140"/>
        <item h="1" x="890"/>
        <item h="1" x="691"/>
        <item h="1" x="454"/>
        <item h="1" x="72"/>
        <item h="1" x="413"/>
        <item h="1" x="64"/>
        <item h="1" x="595"/>
        <item h="1" x="514"/>
        <item h="1" x="130"/>
        <item h="1" x="576"/>
        <item h="1" x="391"/>
        <item h="1" x="843"/>
        <item h="1" x="211"/>
        <item h="1" x="615"/>
        <item h="1" x="884"/>
        <item h="1" x="938"/>
        <item h="1" x="693"/>
        <item h="1" x="812"/>
        <item h="1" x="746"/>
        <item h="1" x="748"/>
        <item h="1" x="924"/>
        <item h="1" x="872"/>
        <item h="1" x="787"/>
        <item h="1" x="811"/>
        <item h="1" x="987"/>
        <item h="1" x="520"/>
        <item h="1" x="716"/>
        <item h="1" x="28"/>
        <item h="1" x="216"/>
        <item h="1" x="5"/>
        <item h="1" x="881"/>
        <item h="1" x="176"/>
        <item h="1" x="877"/>
        <item h="1" x="205"/>
        <item h="1" x="831"/>
        <item h="1" x="8"/>
        <item h="1" x="271"/>
        <item h="1" x="786"/>
        <item h="1" x="700"/>
        <item h="1" x="639"/>
        <item h="1" x="302"/>
        <item h="1" x="84"/>
        <item h="1" x="655"/>
        <item h="1" x="915"/>
        <item h="1" x="128"/>
        <item h="1" x="794"/>
        <item h="1" x="90"/>
        <item h="1" x="281"/>
        <item h="1" x="76"/>
        <item h="1" x="654"/>
        <item h="1" x="789"/>
        <item h="1" x="291"/>
        <item h="1" x="188"/>
        <item h="1" x="97"/>
        <item h="1" x="799"/>
        <item h="1" x="234"/>
        <item h="1" x="540"/>
        <item h="1" x="729"/>
        <item h="1" x="587"/>
        <item h="1" x="379"/>
        <item h="1" x="146"/>
        <item h="1" x="613"/>
        <item h="1" x="973"/>
        <item h="1" x="248"/>
        <item h="1" x="653"/>
        <item h="1" x="213"/>
        <item h="1" x="499"/>
        <item h="1" x="775"/>
        <item h="1" x="51"/>
        <item h="1" x="698"/>
        <item h="1" x="553"/>
        <item h="1" x="341"/>
        <item h="1" x="736"/>
        <item h="1" x="850"/>
        <item h="1" x="767"/>
        <item h="1" x="482"/>
        <item h="1" x="265"/>
        <item h="1" x="784"/>
        <item h="1" x="629"/>
        <item h="1" x="260"/>
        <item h="1" x="432"/>
        <item h="1" x="864"/>
        <item h="1" x="189"/>
        <item h="1" x="741"/>
        <item h="1" x="705"/>
        <item h="1" x="288"/>
        <item h="1" x="363"/>
        <item h="1" x="199"/>
        <item h="1" x="589"/>
        <item h="1" x="526"/>
        <item h="1" x="383"/>
        <item h="1" x="346"/>
        <item h="1" x="101"/>
        <item h="1" x="944"/>
        <item h="1" x="728"/>
        <item h="1" x="725"/>
        <item h="1" x="400"/>
        <item h="1" x="226"/>
        <item h="1" x="198"/>
        <item h="1" x="682"/>
        <item h="1" x="644"/>
        <item h="1" x="797"/>
        <item h="1" x="252"/>
        <item h="1" x="726"/>
        <item h="1" x="936"/>
        <item h="1" x="966"/>
        <item h="1" x="484"/>
        <item h="1" x="386"/>
        <item h="1" x="648"/>
        <item h="1" x="305"/>
        <item h="1" x="932"/>
        <item h="1" x="572"/>
        <item h="1" x="315"/>
        <item h="1" x="621"/>
        <item h="1" x="103"/>
        <item h="1" x="581"/>
        <item h="1" x="808"/>
        <item h="1" x="419"/>
        <item h="1" x="860"/>
        <item h="1" x="657"/>
        <item h="1" x="337"/>
        <item h="1" x="835"/>
        <item h="1" x="144"/>
        <item h="1" x="167"/>
        <item h="1" x="208"/>
        <item h="1" x="819"/>
        <item h="1" x="896"/>
        <item h="1" x="646"/>
        <item h="1" x="136"/>
        <item h="1" x="911"/>
        <item h="1" x="250"/>
        <item h="1" x="236"/>
        <item h="1" x="268"/>
        <item h="1" x="184"/>
        <item h="1" x="599"/>
        <item h="1" x="172"/>
        <item h="1" x="44"/>
        <item h="1" x="89"/>
        <item h="1" x="349"/>
        <item h="1" x="566"/>
        <item h="1" x="62"/>
        <item h="1" x="537"/>
        <item h="1" x="0"/>
        <item h="1" x="478"/>
        <item h="1" x="688"/>
        <item h="1" x="339"/>
        <item h="1" x="529"/>
        <item h="1" x="100"/>
        <item h="1" x="715"/>
        <item h="1" x="591"/>
        <item h="1" x="46"/>
        <item h="1" x="879"/>
        <item h="1" x="917"/>
        <item h="1" x="158"/>
        <item h="1" x="975"/>
        <item h="1" x="709"/>
        <item h="1" x="551"/>
        <item h="1" x="390"/>
        <item h="1" x="424"/>
        <item h="1" x="371"/>
        <item h="1" x="792"/>
        <item h="1" x="929"/>
        <item h="1" x="509"/>
        <item h="1" x="586"/>
        <item h="1" x="837"/>
        <item h="1" x="555"/>
        <item h="1" x="578"/>
        <item h="1" x="220"/>
        <item h="1" x="41"/>
        <item h="1" x="992"/>
        <item h="1" x="185"/>
        <item h="1" x="618"/>
        <item h="1" x="285"/>
        <item h="1" x="55"/>
        <item h="1" x="978"/>
        <item h="1" x="356"/>
        <item h="1" x="435"/>
        <item h="1" x="740"/>
        <item h="1" x="461"/>
        <item h="1" x="545"/>
        <item h="1" x="456"/>
        <item h="1" x="316"/>
        <item h="1" x="946"/>
        <item h="1" x="488"/>
        <item h="1" x="12"/>
        <item h="1" x="394"/>
        <item h="1" x="497"/>
        <item h="1" x="284"/>
        <item h="1" x="387"/>
        <item h="1" x="749"/>
        <item h="1" x="878"/>
        <item h="1" x="608"/>
        <item h="1" x="115"/>
        <item h="1" x="472"/>
        <item h="1" x="183"/>
        <item h="1" x="914"/>
        <item h="1" x="261"/>
        <item h="1" x="825"/>
        <item h="1" x="24"/>
        <item h="1" x="596"/>
        <item h="1" x="309"/>
        <item h="1" x="244"/>
        <item h="1" x="875"/>
        <item h="1" x="935"/>
        <item h="1" x="830"/>
        <item h="1" x="672"/>
        <item h="1" x="838"/>
        <item h="1" x="238"/>
        <item h="1" x="820"/>
        <item h="1" x="606"/>
        <item h="1" x="79"/>
        <item h="1" x="909"/>
        <item h="1" x="855"/>
        <item h="1" x="148"/>
        <item h="1" x="650"/>
        <item h="1" x="160"/>
        <item h="1" x="952"/>
        <item h="1" x="560"/>
        <item h="1" x="939"/>
        <item h="1" x="193"/>
        <item h="1" x="528"/>
        <item h="1" x="257"/>
        <item h="1" x="212"/>
        <item h="1" x="266"/>
        <item h="1" x="770"/>
        <item h="1" x="295"/>
        <item h="1" x="467"/>
        <item h="1" x="534"/>
        <item h="1" x="290"/>
        <item h="1" x="409"/>
        <item h="1" x="697"/>
        <item h="1" x="923"/>
        <item h="1" x="327"/>
        <item h="1" x="954"/>
        <item h="1" x="539"/>
        <item h="1" x="958"/>
        <item h="1" x="803"/>
        <item h="1" x="393"/>
        <item h="1" x="626"/>
        <item h="1" x="713"/>
        <item h="1" x="776"/>
        <item h="1" x="232"/>
        <item h="1" x="575"/>
        <item h="1" x="953"/>
        <item h="1" x="17"/>
        <item h="1" x="758"/>
        <item h="1" x="931"/>
        <item h="1" x="462"/>
        <item h="1" x="203"/>
        <item h="1" x="217"/>
        <item h="1" x="392"/>
        <item h="1" x="378"/>
        <item h="1" x="56"/>
        <item h="1" x="841"/>
        <item h="1" x="200"/>
        <item h="1" x="116"/>
        <item h="1" x="125"/>
        <item h="1" x="951"/>
        <item h="1" x="895"/>
        <item h="1" x="218"/>
        <item h="1" x="163"/>
        <item h="1" x="332"/>
        <item h="1" x="558"/>
        <item h="1" x="396"/>
        <item h="1" x="788"/>
        <item h="1" x="169"/>
        <item h="1" x="190"/>
        <item h="1" x="149"/>
        <item h="1" x="533"/>
        <item h="1" x="782"/>
        <item h="1" x="986"/>
        <item h="1" x="967"/>
        <item h="1" x="616"/>
        <item h="1" x="777"/>
        <item h="1" x="880"/>
        <item h="1" x="61"/>
        <item h="1" x="983"/>
        <item h="1" x="251"/>
        <item h="1" x="369"/>
        <item h="1" x="13"/>
        <item h="1" x="727"/>
        <item h="1" x="389"/>
        <item h="1" x="969"/>
        <item h="1" x="104"/>
        <item h="1" x="34"/>
        <item h="1" x="343"/>
        <item h="1" x="6"/>
        <item h="1" x="145"/>
        <item h="1" x="402"/>
        <item h="1" x="107"/>
        <item h="1" x="652"/>
        <item h="1" x="225"/>
        <item h="1" x="455"/>
        <item h="1" x="791"/>
        <item h="1" x="912"/>
        <item h="1" x="469"/>
        <item h="1" x="222"/>
        <item h="1" x="113"/>
        <item h="1" x="842"/>
        <item h="1" x="805"/>
        <item h="1" x="50"/>
        <item h="1" x="54"/>
        <item h="1" x="342"/>
        <item h="1" x="326"/>
        <item h="1" x="431"/>
        <item h="1" x="501"/>
        <item h="1" x="762"/>
        <item h="1" x="532"/>
        <item h="1" x="27"/>
        <item h="1" x="52"/>
        <item h="1" x="179"/>
        <item h="1" x="269"/>
        <item h="1" x="70"/>
        <item t="default"/>
      </items>
    </pivotField>
    <pivotField showAll="0"/>
    <pivotField showAll="0"/>
    <pivotField showAll="0"/>
    <pivotField showAll="0"/>
  </pivotFields>
  <rowFields count="1">
    <field x="3"/>
  </rowFields>
  <rowItems count="1">
    <i>
      <x v="8"/>
    </i>
  </rowItems>
  <colFields count="1">
    <field x="-2"/>
  </colFields>
  <colItems count="2">
    <i>
      <x/>
    </i>
    <i i="1">
      <x v="1"/>
    </i>
  </colItems>
  <dataFields count="2">
    <dataField name="Sum of Total Sales (₹)" fld="14"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812319-D487-4F65-8399-1D00CFFE631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1:C10" firstHeaderRow="0" firstDataRow="1" firstDataCol="1"/>
  <pivotFields count="19">
    <pivotField showAll="0"/>
    <pivotField showAll="0"/>
    <pivotField numFmtId="14" showAll="0"/>
    <pivotField showAll="0"/>
    <pivotField showAll="0"/>
    <pivotField showAll="0"/>
    <pivotField axis="axisRow" showAll="0">
      <items count="4">
        <item x="1"/>
        <item x="0"/>
        <item x="2"/>
        <item t="default"/>
      </items>
    </pivotField>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dataField="1" showAll="0"/>
  </pivotFields>
  <rowFields count="2">
    <field x="6"/>
    <field x="7"/>
  </rowFields>
  <rowItems count="9">
    <i>
      <x/>
    </i>
    <i r="1">
      <x/>
    </i>
    <i r="1">
      <x v="1"/>
    </i>
    <i>
      <x v="1"/>
    </i>
    <i r="1">
      <x/>
    </i>
    <i r="1">
      <x v="1"/>
    </i>
    <i>
      <x v="2"/>
    </i>
    <i r="1">
      <x/>
    </i>
    <i r="1">
      <x v="1"/>
    </i>
  </rowItems>
  <colFields count="1">
    <field x="-2"/>
  </colFields>
  <colItems count="2">
    <i>
      <x/>
    </i>
    <i i="1">
      <x v="1"/>
    </i>
  </colItems>
  <dataFields count="2">
    <dataField name="Sum of Total Sales (₹)" fld="14" baseField="0" baseItem="0"/>
    <dataField name="Count of Repeat Purchase" fld="18"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3">
          <reference field="4294967294" count="1" selected="0">
            <x v="0"/>
          </reference>
          <reference field="6" count="1" selected="0">
            <x v="0"/>
          </reference>
          <reference field="7" count="1" selected="0">
            <x v="0"/>
          </reference>
        </references>
      </pivotArea>
    </chartFormat>
    <chartFormat chart="13" format="19">
      <pivotArea type="data" outline="0" fieldPosition="0">
        <references count="3">
          <reference field="4294967294" count="1" selected="0">
            <x v="0"/>
          </reference>
          <reference field="6" count="1" selected="0">
            <x v="0"/>
          </reference>
          <reference field="7" count="1" selected="0">
            <x v="1"/>
          </reference>
        </references>
      </pivotArea>
    </chartFormat>
    <chartFormat chart="13" format="20">
      <pivotArea type="data" outline="0" fieldPosition="0">
        <references count="3">
          <reference field="4294967294" count="1" selected="0">
            <x v="0"/>
          </reference>
          <reference field="6" count="1" selected="0">
            <x v="1"/>
          </reference>
          <reference field="7" count="1" selected="0">
            <x v="0"/>
          </reference>
        </references>
      </pivotArea>
    </chartFormat>
    <chartFormat chart="13" format="21">
      <pivotArea type="data" outline="0" fieldPosition="0">
        <references count="3">
          <reference field="4294967294" count="1" selected="0">
            <x v="0"/>
          </reference>
          <reference field="6" count="1" selected="0">
            <x v="1"/>
          </reference>
          <reference field="7" count="1" selected="0">
            <x v="1"/>
          </reference>
        </references>
      </pivotArea>
    </chartFormat>
    <chartFormat chart="13" format="22">
      <pivotArea type="data" outline="0" fieldPosition="0">
        <references count="3">
          <reference field="4294967294" count="1" selected="0">
            <x v="0"/>
          </reference>
          <reference field="6" count="1" selected="0">
            <x v="2"/>
          </reference>
          <reference field="7" count="1" selected="0">
            <x v="0"/>
          </reference>
        </references>
      </pivotArea>
    </chartFormat>
    <chartFormat chart="13" format="23">
      <pivotArea type="data" outline="0" fieldPosition="0">
        <references count="3">
          <reference field="4294967294" count="1" selected="0">
            <x v="0"/>
          </reference>
          <reference field="6" count="1" selected="0">
            <x v="2"/>
          </reference>
          <reference field="7" count="1" selected="0">
            <x v="1"/>
          </reference>
        </references>
      </pivotArea>
    </chartFormat>
    <chartFormat chart="13" format="24" series="1">
      <pivotArea type="data" outline="0" fieldPosition="0">
        <references count="1">
          <reference field="4294967294" count="1" selected="0">
            <x v="1"/>
          </reference>
        </references>
      </pivotArea>
    </chartFormat>
    <chartFormat chart="13" format="25">
      <pivotArea type="data" outline="0" fieldPosition="0">
        <references count="3">
          <reference field="4294967294" count="1" selected="0">
            <x v="1"/>
          </reference>
          <reference field="6" count="1" selected="0">
            <x v="0"/>
          </reference>
          <reference field="7" count="1" selected="0">
            <x v="0"/>
          </reference>
        </references>
      </pivotArea>
    </chartFormat>
    <chartFormat chart="13" format="26">
      <pivotArea type="data" outline="0" fieldPosition="0">
        <references count="3">
          <reference field="4294967294" count="1" selected="0">
            <x v="1"/>
          </reference>
          <reference field="6" count="1" selected="0">
            <x v="0"/>
          </reference>
          <reference field="7" count="1" selected="0">
            <x v="1"/>
          </reference>
        </references>
      </pivotArea>
    </chartFormat>
    <chartFormat chart="13" format="27">
      <pivotArea type="data" outline="0" fieldPosition="0">
        <references count="3">
          <reference field="4294967294" count="1" selected="0">
            <x v="1"/>
          </reference>
          <reference field="6" count="1" selected="0">
            <x v="1"/>
          </reference>
          <reference field="7" count="1" selected="0">
            <x v="0"/>
          </reference>
        </references>
      </pivotArea>
    </chartFormat>
    <chartFormat chart="13" format="28">
      <pivotArea type="data" outline="0" fieldPosition="0">
        <references count="3">
          <reference field="4294967294" count="1" selected="0">
            <x v="1"/>
          </reference>
          <reference field="6" count="1" selected="0">
            <x v="1"/>
          </reference>
          <reference field="7" count="1" selected="0">
            <x v="1"/>
          </reference>
        </references>
      </pivotArea>
    </chartFormat>
    <chartFormat chart="13" format="29">
      <pivotArea type="data" outline="0" fieldPosition="0">
        <references count="3">
          <reference field="4294967294" count="1" selected="0">
            <x v="1"/>
          </reference>
          <reference field="6" count="1" selected="0">
            <x v="2"/>
          </reference>
          <reference field="7" count="1" selected="0">
            <x v="0"/>
          </reference>
        </references>
      </pivotArea>
    </chartFormat>
    <chartFormat chart="13" format="30">
      <pivotArea type="data" outline="0" fieldPosition="0">
        <references count="3">
          <reference field="4294967294" count="1" selected="0">
            <x v="1"/>
          </reference>
          <reference field="6" count="1" selected="0">
            <x v="2"/>
          </reference>
          <reference field="7" count="1" selected="0">
            <x v="1"/>
          </reference>
        </references>
      </pivotArea>
    </chartFormat>
    <chartFormat chart="0" format="3">
      <pivotArea type="data" outline="0" fieldPosition="0">
        <references count="3">
          <reference field="4294967294" count="1" selected="0">
            <x v="0"/>
          </reference>
          <reference field="6" count="1" selected="0">
            <x v="0"/>
          </reference>
          <reference field="7" count="1" selected="0">
            <x v="0"/>
          </reference>
        </references>
      </pivotArea>
    </chartFormat>
    <chartFormat chart="0" format="4">
      <pivotArea type="data" outline="0" fieldPosition="0">
        <references count="3">
          <reference field="4294967294" count="1" selected="0">
            <x v="0"/>
          </reference>
          <reference field="6" count="1" selected="0">
            <x v="0"/>
          </reference>
          <reference field="7" count="1" selected="0">
            <x v="1"/>
          </reference>
        </references>
      </pivotArea>
    </chartFormat>
    <chartFormat chart="0" format="5">
      <pivotArea type="data" outline="0" fieldPosition="0">
        <references count="3">
          <reference field="4294967294" count="1" selected="0">
            <x v="0"/>
          </reference>
          <reference field="6" count="1" selected="0">
            <x v="1"/>
          </reference>
          <reference field="7" count="1" selected="0">
            <x v="0"/>
          </reference>
        </references>
      </pivotArea>
    </chartFormat>
    <chartFormat chart="0" format="6">
      <pivotArea type="data" outline="0" fieldPosition="0">
        <references count="3">
          <reference field="4294967294" count="1" selected="0">
            <x v="0"/>
          </reference>
          <reference field="6" count="1" selected="0">
            <x v="1"/>
          </reference>
          <reference field="7" count="1" selected="0">
            <x v="1"/>
          </reference>
        </references>
      </pivotArea>
    </chartFormat>
    <chartFormat chart="0" format="7">
      <pivotArea type="data" outline="0" fieldPosition="0">
        <references count="3">
          <reference field="4294967294" count="1" selected="0">
            <x v="0"/>
          </reference>
          <reference field="6" count="1" selected="0">
            <x v="2"/>
          </reference>
          <reference field="7" count="1" selected="0">
            <x v="0"/>
          </reference>
        </references>
      </pivotArea>
    </chartFormat>
    <chartFormat chart="0" format="8">
      <pivotArea type="data" outline="0" fieldPosition="0">
        <references count="3">
          <reference field="4294967294" count="1" selected="0">
            <x v="0"/>
          </reference>
          <reference field="6" count="1" selected="0">
            <x v="2"/>
          </reference>
          <reference field="7" count="1" selected="0">
            <x v="1"/>
          </reference>
        </references>
      </pivotArea>
    </chartFormat>
    <chartFormat chart="0" format="9">
      <pivotArea type="data" outline="0" fieldPosition="0">
        <references count="3">
          <reference field="4294967294" count="1" selected="0">
            <x v="1"/>
          </reference>
          <reference field="6" count="1" selected="0">
            <x v="0"/>
          </reference>
          <reference field="7" count="1" selected="0">
            <x v="0"/>
          </reference>
        </references>
      </pivotArea>
    </chartFormat>
    <chartFormat chart="0" format="10">
      <pivotArea type="data" outline="0" fieldPosition="0">
        <references count="3">
          <reference field="4294967294" count="1" selected="0">
            <x v="1"/>
          </reference>
          <reference field="6" count="1" selected="0">
            <x v="0"/>
          </reference>
          <reference field="7" count="1" selected="0">
            <x v="1"/>
          </reference>
        </references>
      </pivotArea>
    </chartFormat>
    <chartFormat chart="0" format="11">
      <pivotArea type="data" outline="0" fieldPosition="0">
        <references count="3">
          <reference field="4294967294" count="1" selected="0">
            <x v="1"/>
          </reference>
          <reference field="6" count="1" selected="0">
            <x v="1"/>
          </reference>
          <reference field="7" count="1" selected="0">
            <x v="0"/>
          </reference>
        </references>
      </pivotArea>
    </chartFormat>
    <chartFormat chart="0" format="12">
      <pivotArea type="data" outline="0" fieldPosition="0">
        <references count="3">
          <reference field="4294967294" count="1" selected="0">
            <x v="1"/>
          </reference>
          <reference field="6" count="1" selected="0">
            <x v="1"/>
          </reference>
          <reference field="7" count="1" selected="0">
            <x v="1"/>
          </reference>
        </references>
      </pivotArea>
    </chartFormat>
    <chartFormat chart="0" format="13">
      <pivotArea type="data" outline="0" fieldPosition="0">
        <references count="3">
          <reference field="4294967294" count="1" selected="0">
            <x v="1"/>
          </reference>
          <reference field="6" count="1" selected="0">
            <x v="2"/>
          </reference>
          <reference field="7" count="1" selected="0">
            <x v="0"/>
          </reference>
        </references>
      </pivotArea>
    </chartFormat>
    <chartFormat chart="0" format="14">
      <pivotArea type="data" outline="0" fieldPosition="0">
        <references count="3">
          <reference field="4294967294" count="1" selected="0">
            <x v="1"/>
          </reference>
          <reference field="6" count="1" selected="0">
            <x v="2"/>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9DF6F0-F0EF-42A1-BD09-BCDE8611C86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1:B14" firstHeaderRow="1" firstDataRow="2" firstDataCol="1"/>
  <pivotFields count="19">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axis="axisCol" showAll="0">
      <items count="5">
        <item x="3"/>
        <item h="1" x="0"/>
        <item h="1" x="1"/>
        <item h="1" x="2"/>
        <item t="default"/>
      </items>
    </pivotField>
    <pivotField showAll="0">
      <items count="6">
        <item h="1" x="0"/>
        <item x="2"/>
        <item h="1" x="1"/>
        <item h="1" x="4"/>
        <item h="1" x="3"/>
        <item t="default"/>
      </items>
    </pivotField>
    <pivotField showAll="0"/>
    <pivotField showAll="0"/>
    <pivotField showAll="0"/>
    <pivotField dataField="1" showAll="0"/>
    <pivotField showAll="0"/>
    <pivotField showAll="0"/>
    <pivotField showAll="0"/>
    <pivotField showAll="0"/>
  </pivotFields>
  <rowFields count="1">
    <field x="3"/>
  </rowFields>
  <rowItems count="12">
    <i>
      <x/>
    </i>
    <i>
      <x v="1"/>
    </i>
    <i>
      <x v="2"/>
    </i>
    <i>
      <x v="3"/>
    </i>
    <i>
      <x v="4"/>
    </i>
    <i>
      <x v="5"/>
    </i>
    <i>
      <x v="6"/>
    </i>
    <i>
      <x v="7"/>
    </i>
    <i>
      <x v="8"/>
    </i>
    <i>
      <x v="9"/>
    </i>
    <i>
      <x v="10"/>
    </i>
    <i>
      <x v="11"/>
    </i>
  </rowItems>
  <colFields count="1">
    <field x="9"/>
  </colFields>
  <colItems count="1">
    <i>
      <x/>
    </i>
  </colItems>
  <dataFields count="1">
    <dataField name="Sum of Total Sales (₹)" fld="14" baseField="0" baseItem="0"/>
  </dataFields>
  <chartFormats count="19">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2"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3"/>
          </reference>
        </references>
      </pivotArea>
    </chartFormat>
    <chartFormat chart="11" format="8" series="1">
      <pivotArea type="data" outline="0" fieldPosition="0">
        <references count="2">
          <reference field="4294967294" count="1" selected="0">
            <x v="0"/>
          </reference>
          <reference field="9" count="1" selected="0">
            <x v="0"/>
          </reference>
        </references>
      </pivotArea>
    </chartFormat>
    <chartFormat chart="11" format="9" series="1">
      <pivotArea type="data" outline="0" fieldPosition="0">
        <references count="2">
          <reference field="4294967294" count="1" selected="0">
            <x v="0"/>
          </reference>
          <reference field="9" count="1" selected="0">
            <x v="1"/>
          </reference>
        </references>
      </pivotArea>
    </chartFormat>
    <chartFormat chart="11" format="10" series="1">
      <pivotArea type="data" outline="0" fieldPosition="0">
        <references count="2">
          <reference field="4294967294" count="1" selected="0">
            <x v="0"/>
          </reference>
          <reference field="9" count="1" selected="0">
            <x v="2"/>
          </reference>
        </references>
      </pivotArea>
    </chartFormat>
    <chartFormat chart="11" format="11" series="1">
      <pivotArea type="data" outline="0" fieldPosition="0">
        <references count="2">
          <reference field="4294967294" count="1" selected="0">
            <x v="0"/>
          </reference>
          <reference field="9" count="1" selected="0">
            <x v="3"/>
          </reference>
        </references>
      </pivotArea>
    </chartFormat>
    <chartFormat chart="15" format="8" series="1">
      <pivotArea type="data" outline="0" fieldPosition="0">
        <references count="2">
          <reference field="4294967294" count="1" selected="0">
            <x v="0"/>
          </reference>
          <reference field="9" count="1" selected="0">
            <x v="0"/>
          </reference>
        </references>
      </pivotArea>
    </chartFormat>
    <chartFormat chart="15" format="9" series="1">
      <pivotArea type="data" outline="0" fieldPosition="0">
        <references count="2">
          <reference field="4294967294" count="1" selected="0">
            <x v="0"/>
          </reference>
          <reference field="9" count="1" selected="0">
            <x v="1"/>
          </reference>
        </references>
      </pivotArea>
    </chartFormat>
    <chartFormat chart="15" format="10" series="1">
      <pivotArea type="data" outline="0" fieldPosition="0">
        <references count="2">
          <reference field="4294967294" count="1" selected="0">
            <x v="0"/>
          </reference>
          <reference field="9" count="1" selected="0">
            <x v="2"/>
          </reference>
        </references>
      </pivotArea>
    </chartFormat>
    <chartFormat chart="15" format="11" series="1">
      <pivotArea type="data" outline="0" fieldPosition="0">
        <references count="2">
          <reference field="4294967294" count="1" selected="0">
            <x v="0"/>
          </reference>
          <reference field="9" count="1" selected="0">
            <x v="3"/>
          </reference>
        </references>
      </pivotArea>
    </chartFormat>
    <chartFormat chart="15" format="1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F19128-B143-479E-9489-8401C74441E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C26" firstHeaderRow="0" firstDataRow="1" firstDataCol="1"/>
  <pivotFields count="19">
    <pivotField showAll="0"/>
    <pivotField showAll="0"/>
    <pivotField numFmtId="14" showAll="0"/>
    <pivotField showAll="0"/>
    <pivotField showAll="0"/>
    <pivotField showAll="0"/>
    <pivotField showAll="0"/>
    <pivotField showAll="0"/>
    <pivotField showAll="0"/>
    <pivotField showAll="0"/>
    <pivotField axis="axisRow" showAll="0">
      <items count="6">
        <item x="0"/>
        <item x="2"/>
        <item x="1"/>
        <item x="4"/>
        <item x="3"/>
        <item t="default"/>
      </items>
    </pivotField>
    <pivotField showAll="0"/>
    <pivotField showAll="0"/>
    <pivotField showAll="0"/>
    <pivotField showAll="0"/>
    <pivotField axis="axisRow" showAll="0">
      <items count="6">
        <item sd="0" x="2"/>
        <item x="4"/>
        <item x="1"/>
        <item x="0"/>
        <item x="3"/>
        <item t="default"/>
      </items>
    </pivotField>
    <pivotField dataField="1" showAll="0"/>
    <pivotField dataField="1" showAll="0"/>
    <pivotField showAll="0"/>
  </pivotFields>
  <rowFields count="2">
    <field x="15"/>
    <field x="10"/>
  </rowFields>
  <rowItems count="25">
    <i>
      <x/>
    </i>
    <i>
      <x v="1"/>
    </i>
    <i r="1">
      <x/>
    </i>
    <i r="1">
      <x v="1"/>
    </i>
    <i r="1">
      <x v="2"/>
    </i>
    <i r="1">
      <x v="3"/>
    </i>
    <i r="1">
      <x v="4"/>
    </i>
    <i>
      <x v="2"/>
    </i>
    <i r="1">
      <x/>
    </i>
    <i r="1">
      <x v="1"/>
    </i>
    <i r="1">
      <x v="2"/>
    </i>
    <i r="1">
      <x v="3"/>
    </i>
    <i r="1">
      <x v="4"/>
    </i>
    <i>
      <x v="3"/>
    </i>
    <i r="1">
      <x/>
    </i>
    <i r="1">
      <x v="1"/>
    </i>
    <i r="1">
      <x v="2"/>
    </i>
    <i r="1">
      <x v="3"/>
    </i>
    <i r="1">
      <x v="4"/>
    </i>
    <i>
      <x v="4"/>
    </i>
    <i r="1">
      <x/>
    </i>
    <i r="1">
      <x v="1"/>
    </i>
    <i r="1">
      <x v="2"/>
    </i>
    <i r="1">
      <x v="3"/>
    </i>
    <i r="1">
      <x v="4"/>
    </i>
  </rowItems>
  <colFields count="1">
    <field x="-2"/>
  </colFields>
  <colItems count="2">
    <i>
      <x/>
    </i>
    <i i="1">
      <x v="1"/>
    </i>
  </colItems>
  <dataFields count="2">
    <dataField name="Sum of Delivery Days" fld="16" baseField="0" baseItem="0"/>
    <dataField name="Sum of Customer Rating"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3721D9-90B4-49B5-B937-DFD76C1F8B2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8" firstHeaderRow="1" firstDataRow="1" firstDataCol="1"/>
  <pivotFields count="19">
    <pivotField showAll="0"/>
    <pivotField showAll="0"/>
    <pivotField numFmtId="14" showAll="0"/>
    <pivotField showAll="0"/>
    <pivotField showAll="0"/>
    <pivotField showAll="0"/>
    <pivotField showAll="0"/>
    <pivotField showAll="0"/>
    <pivotField showAll="0"/>
    <pivotField showAll="0"/>
    <pivotField showAll="0"/>
    <pivotField axis="axisRow" showAll="0" measureFilter="1" sortType="descending">
      <items count="26">
        <item x="12"/>
        <item x="17"/>
        <item x="24"/>
        <item x="18"/>
        <item x="20"/>
        <item x="23"/>
        <item x="6"/>
        <item x="2"/>
        <item x="7"/>
        <item x="5"/>
        <item x="19"/>
        <item x="10"/>
        <item x="14"/>
        <item x="13"/>
        <item x="0"/>
        <item x="3"/>
        <item x="22"/>
        <item x="4"/>
        <item x="8"/>
        <item x="1"/>
        <item x="16"/>
        <item x="15"/>
        <item x="9"/>
        <item x="11"/>
        <item x="21"/>
        <item t="default"/>
      </items>
    </pivotField>
    <pivotField showAll="0"/>
    <pivotField showAll="0"/>
    <pivotField dataField="1" showAll="0"/>
    <pivotField showAll="0"/>
    <pivotField showAll="0"/>
    <pivotField showAll="0"/>
    <pivotField showAll="0"/>
  </pivotFields>
  <rowFields count="1">
    <field x="11"/>
  </rowFields>
  <rowItems count="5">
    <i>
      <x/>
    </i>
    <i>
      <x v="2"/>
    </i>
    <i>
      <x v="12"/>
    </i>
    <i>
      <x v="19"/>
    </i>
    <i>
      <x v="24"/>
    </i>
  </rowItems>
  <colItems count="1">
    <i/>
  </colItems>
  <dataFields count="1">
    <dataField name="Sum of Total Sales (₹)" fld="1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2"/>
          </reference>
        </references>
      </pivotArea>
    </chartFormat>
    <chartFormat chart="0" format="4">
      <pivotArea type="data" outline="0" fieldPosition="0">
        <references count="2">
          <reference field="4294967294" count="1" selected="0">
            <x v="0"/>
          </reference>
          <reference field="11" count="1" selected="0">
            <x v="19"/>
          </reference>
        </references>
      </pivotArea>
    </chartFormat>
    <chartFormat chart="0" format="5">
      <pivotArea type="data" outline="0" fieldPosition="0">
        <references count="2">
          <reference field="4294967294" count="1" selected="0">
            <x v="0"/>
          </reference>
          <reference field="11" count="1" selected="0">
            <x v="2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1" count="1" selected="0">
            <x v="0"/>
          </reference>
        </references>
      </pivotArea>
    </chartFormat>
    <chartFormat chart="4" format="14">
      <pivotArea type="data" outline="0" fieldPosition="0">
        <references count="2">
          <reference field="4294967294" count="1" selected="0">
            <x v="0"/>
          </reference>
          <reference field="11" count="1" selected="0">
            <x v="2"/>
          </reference>
        </references>
      </pivotArea>
    </chartFormat>
    <chartFormat chart="4" format="15">
      <pivotArea type="data" outline="0" fieldPosition="0">
        <references count="2">
          <reference field="4294967294" count="1" selected="0">
            <x v="0"/>
          </reference>
          <reference field="11" count="1" selected="0">
            <x v="12"/>
          </reference>
        </references>
      </pivotArea>
    </chartFormat>
    <chartFormat chart="4" format="16">
      <pivotArea type="data" outline="0" fieldPosition="0">
        <references count="2">
          <reference field="4294967294" count="1" selected="0">
            <x v="0"/>
          </reference>
          <reference field="11" count="1" selected="0">
            <x v="19"/>
          </reference>
        </references>
      </pivotArea>
    </chartFormat>
    <chartFormat chart="4" format="17">
      <pivotArea type="data" outline="0" fieldPosition="0">
        <references count="2">
          <reference field="4294967294" count="1" selected="0">
            <x v="0"/>
          </reference>
          <reference field="11" count="1" selected="0">
            <x v="2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6A507A-447E-49F7-8540-BC355B6502B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C11" firstHeaderRow="0" firstDataRow="1" firstDataCol="1"/>
  <pivotFields count="19">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4"/>
        <item x="7"/>
        <item x="6"/>
        <item x="3"/>
        <item x="2"/>
        <item x="8"/>
        <item x="5"/>
        <item x="9"/>
        <item t="default"/>
      </items>
    </pivotField>
    <pivotField dataField="1" showAll="0"/>
    <pivotField dataField="1" showAll="0"/>
  </pivotFields>
  <rowFields count="1">
    <field x="16"/>
  </rowFields>
  <rowItems count="10">
    <i>
      <x/>
    </i>
    <i>
      <x v="1"/>
    </i>
    <i>
      <x v="2"/>
    </i>
    <i>
      <x v="3"/>
    </i>
    <i>
      <x v="4"/>
    </i>
    <i>
      <x v="5"/>
    </i>
    <i>
      <x v="6"/>
    </i>
    <i>
      <x v="7"/>
    </i>
    <i>
      <x v="8"/>
    </i>
    <i>
      <x v="9"/>
    </i>
  </rowItems>
  <colFields count="1">
    <field x="-2"/>
  </colFields>
  <colItems count="2">
    <i>
      <x/>
    </i>
    <i i="1">
      <x v="1"/>
    </i>
  </colItems>
  <dataFields count="2">
    <dataField name="Sum of Customer Rating" fld="17" baseField="0" baseItem="0"/>
    <dataField name="Count of Repeat Purchase" fld="18" subtotal="count"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90FF2E-79B8-4356-84BB-8F8C1C6F873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C11" firstHeaderRow="0" firstDataRow="1" firstDataCol="1"/>
  <pivotFields count="19">
    <pivotField showAll="0"/>
    <pivotField showAll="0"/>
    <pivotField numFmtId="14" showAll="0"/>
    <pivotField showAll="0"/>
    <pivotField showAll="0"/>
    <pivotField showAll="0"/>
    <pivotField showAll="0"/>
    <pivotField showAll="0"/>
    <pivotField axis="axisRow" showAll="0">
      <items count="11">
        <item x="7"/>
        <item x="6"/>
        <item x="0"/>
        <item x="5"/>
        <item x="3"/>
        <item x="1"/>
        <item x="8"/>
        <item x="9"/>
        <item x="2"/>
        <item x="4"/>
        <item t="default"/>
      </items>
    </pivotField>
    <pivotField showAll="0"/>
    <pivotField showAll="0"/>
    <pivotField dataField="1" showAll="0"/>
    <pivotField showAll="0"/>
    <pivotField showAll="0"/>
    <pivotField dataField="1" showAll="0"/>
    <pivotField showAll="0"/>
    <pivotField showAll="0"/>
    <pivotField showAll="0"/>
    <pivotField showAll="0"/>
  </pivotFields>
  <rowFields count="1">
    <field x="8"/>
  </rowFields>
  <rowItems count="10">
    <i>
      <x/>
    </i>
    <i>
      <x v="1"/>
    </i>
    <i>
      <x v="2"/>
    </i>
    <i>
      <x v="3"/>
    </i>
    <i>
      <x v="4"/>
    </i>
    <i>
      <x v="5"/>
    </i>
    <i>
      <x v="6"/>
    </i>
    <i>
      <x v="7"/>
    </i>
    <i>
      <x v="8"/>
    </i>
    <i>
      <x v="9"/>
    </i>
  </rowItems>
  <colFields count="1">
    <field x="-2"/>
  </colFields>
  <colItems count="2">
    <i>
      <x/>
    </i>
    <i i="1">
      <x v="1"/>
    </i>
  </colItems>
  <dataFields count="2">
    <dataField name="Count of Product Name" fld="11" subtotal="count" baseField="0" baseItem="0"/>
    <dataField name="Sum of Total Sales (₹)" fld="14"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0"/>
          </reference>
          <reference field="8" count="1" selected="0">
            <x v="4"/>
          </reference>
        </references>
      </pivotArea>
    </chartFormat>
    <chartFormat chart="0" format="7">
      <pivotArea type="data" outline="0" fieldPosition="0">
        <references count="2">
          <reference field="4294967294" count="1" selected="0">
            <x v="0"/>
          </reference>
          <reference field="8" count="1" selected="0">
            <x v="5"/>
          </reference>
        </references>
      </pivotArea>
    </chartFormat>
    <chartFormat chart="0" format="8">
      <pivotArea type="data" outline="0" fieldPosition="0">
        <references count="2">
          <reference field="4294967294" count="1" selected="0">
            <x v="0"/>
          </reference>
          <reference field="8" count="1" selected="0">
            <x v="6"/>
          </reference>
        </references>
      </pivotArea>
    </chartFormat>
    <chartFormat chart="0" format="9">
      <pivotArea type="data" outline="0" fieldPosition="0">
        <references count="2">
          <reference field="4294967294" count="1" selected="0">
            <x v="0"/>
          </reference>
          <reference field="8" count="1" selected="0">
            <x v="7"/>
          </reference>
        </references>
      </pivotArea>
    </chartFormat>
    <chartFormat chart="0" format="10">
      <pivotArea type="data" outline="0" fieldPosition="0">
        <references count="2">
          <reference field="4294967294" count="1" selected="0">
            <x v="0"/>
          </reference>
          <reference field="8" count="1" selected="0">
            <x v="8"/>
          </reference>
        </references>
      </pivotArea>
    </chartFormat>
    <chartFormat chart="0" format="11">
      <pivotArea type="data" outline="0" fieldPosition="0">
        <references count="2">
          <reference field="4294967294" count="1" selected="0">
            <x v="0"/>
          </reference>
          <reference field="8" count="1" selected="0">
            <x v="9"/>
          </reference>
        </references>
      </pivotArea>
    </chartFormat>
    <chartFormat chart="0" format="12">
      <pivotArea type="data" outline="0" fieldPosition="0">
        <references count="2">
          <reference field="4294967294" count="1" selected="0">
            <x v="1"/>
          </reference>
          <reference field="8" count="1" selected="0">
            <x v="0"/>
          </reference>
        </references>
      </pivotArea>
    </chartFormat>
    <chartFormat chart="0" format="13">
      <pivotArea type="data" outline="0" fieldPosition="0">
        <references count="2">
          <reference field="4294967294" count="1" selected="0">
            <x v="1"/>
          </reference>
          <reference field="8" count="1" selected="0">
            <x v="1"/>
          </reference>
        </references>
      </pivotArea>
    </chartFormat>
    <chartFormat chart="0" format="14">
      <pivotArea type="data" outline="0" fieldPosition="0">
        <references count="2">
          <reference field="4294967294" count="1" selected="0">
            <x v="1"/>
          </reference>
          <reference field="8" count="1" selected="0">
            <x v="2"/>
          </reference>
        </references>
      </pivotArea>
    </chartFormat>
    <chartFormat chart="0" format="15">
      <pivotArea type="data" outline="0" fieldPosition="0">
        <references count="2">
          <reference field="4294967294" count="1" selected="0">
            <x v="1"/>
          </reference>
          <reference field="8" count="1" selected="0">
            <x v="3"/>
          </reference>
        </references>
      </pivotArea>
    </chartFormat>
    <chartFormat chart="0" format="16">
      <pivotArea type="data" outline="0" fieldPosition="0">
        <references count="2">
          <reference field="4294967294" count="1" selected="0">
            <x v="1"/>
          </reference>
          <reference field="8" count="1" selected="0">
            <x v="4"/>
          </reference>
        </references>
      </pivotArea>
    </chartFormat>
    <chartFormat chart="0" format="17">
      <pivotArea type="data" outline="0" fieldPosition="0">
        <references count="2">
          <reference field="4294967294" count="1" selected="0">
            <x v="1"/>
          </reference>
          <reference field="8" count="1" selected="0">
            <x v="5"/>
          </reference>
        </references>
      </pivotArea>
    </chartFormat>
    <chartFormat chart="0" format="18">
      <pivotArea type="data" outline="0" fieldPosition="0">
        <references count="2">
          <reference field="4294967294" count="1" selected="0">
            <x v="1"/>
          </reference>
          <reference field="8" count="1" selected="0">
            <x v="6"/>
          </reference>
        </references>
      </pivotArea>
    </chartFormat>
    <chartFormat chart="0" format="19">
      <pivotArea type="data" outline="0" fieldPosition="0">
        <references count="2">
          <reference field="4294967294" count="1" selected="0">
            <x v="1"/>
          </reference>
          <reference field="8" count="1" selected="0">
            <x v="7"/>
          </reference>
        </references>
      </pivotArea>
    </chartFormat>
    <chartFormat chart="0" format="20">
      <pivotArea type="data" outline="0" fieldPosition="0">
        <references count="2">
          <reference field="4294967294" count="1" selected="0">
            <x v="1"/>
          </reference>
          <reference field="8" count="1" selected="0">
            <x v="8"/>
          </reference>
        </references>
      </pivotArea>
    </chartFormat>
    <chartFormat chart="0" format="21">
      <pivotArea type="data" outline="0" fieldPosition="0">
        <references count="2">
          <reference field="4294967294" count="1" selected="0">
            <x v="1"/>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1DE4F7-1D0B-4D62-B060-0994AE0F1F87}" sourceName="Region">
  <pivotTables>
    <pivotTable tabId="7" name="PivotTable4"/>
  </pivotTables>
  <data>
    <tabular pivotCacheId="714397680">
      <items count="4">
        <i x="3" s="1"/>
        <i x="0"/>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586193D-CC01-4FAE-B6A3-6E216FA72744}" sourceName="Product Category">
  <pivotTables>
    <pivotTable tabId="7" name="PivotTable4"/>
  </pivotTables>
  <data>
    <tabular pivotCacheId="714397680">
      <items count="5">
        <i x="0"/>
        <i x="2" s="1"/>
        <i x="1"/>
        <i x="4"/>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684FFF-F4A8-4EDF-A1C1-1C7443F3BCBA}" sourceName="Gender">
  <pivotTables>
    <pivotTable tabId="4" name="PivotTable1"/>
  </pivotTables>
  <data>
    <tabular pivotCacheId="714397680">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1E60A8E2-01CE-4AB4-8268-1BED3154C9B0}" sourceName="Order ID">
  <pivotTables>
    <pivotTable tabId="2" name="PivotTable3"/>
  </pivotTables>
  <data>
    <tabular pivotCacheId="714397680">
      <items count="1000">
        <i x="783"/>
        <i x="268"/>
        <i x="841"/>
        <i x="982" s="1"/>
        <i x="805"/>
        <i x="854"/>
        <i x="282"/>
        <i x="329"/>
        <i x="928"/>
        <i x="819"/>
        <i x="771"/>
        <i x="151"/>
        <i x="330"/>
        <i x="274"/>
        <i x="644"/>
        <i x="125"/>
        <i x="229"/>
        <i x="117"/>
        <i x="362"/>
        <i x="69"/>
        <i x="719"/>
        <i x="570"/>
        <i x="302"/>
        <i x="331"/>
        <i x="72"/>
        <i x="152"/>
        <i x="820"/>
        <i x="978"/>
        <i x="33"/>
        <i x="322"/>
        <i x="316"/>
        <i x="808"/>
        <i x="500"/>
        <i x="971"/>
        <i x="754"/>
        <i x="218"/>
        <i x="678"/>
        <i x="871"/>
        <i x="502"/>
        <i x="1"/>
        <i x="810"/>
        <i x="577"/>
        <i x="584"/>
        <i x="171"/>
        <i x="720"/>
        <i x="435"/>
        <i x="541"/>
        <i x="560"/>
        <i x="350"/>
        <i x="555"/>
        <i x="915"/>
        <i x="236"/>
        <i x="342"/>
        <i x="226"/>
        <i x="100"/>
        <i x="696"/>
        <i x="0"/>
        <i x="961"/>
        <i x="543"/>
        <i x="34"/>
        <i x="778"/>
        <i x="986"/>
        <i x="508"/>
        <i x="842"/>
        <i x="160"/>
        <i x="88"/>
        <i x="436"/>
        <i x="916"/>
        <i x="15"/>
        <i x="398"/>
        <i x="40"/>
        <i x="212"/>
        <i x="816"/>
        <i x="290"/>
        <i x="954"/>
        <i x="901"/>
        <i x="317"/>
        <i x="332"/>
        <i x="755"/>
        <i x="291"/>
        <i x="351"/>
        <i x="230"/>
        <i x="726"/>
        <i x="174"/>
        <i x="588"/>
        <i x="495"/>
        <i x="470"/>
        <i x="509"/>
        <i x="101"/>
        <i x="881"/>
        <i x="684"/>
        <i x="2"/>
        <i x="205"/>
        <i x="606"/>
        <i x="63"/>
        <i x="3"/>
        <i x="571"/>
        <i x="829"/>
        <i x="423"/>
        <i x="213"/>
        <i x="199"/>
        <i x="50"/>
        <i x="405"/>
        <i x="544"/>
        <i x="83"/>
        <i x="794"/>
        <i x="453"/>
        <i x="806"/>
        <i x="817"/>
        <i x="578"/>
        <i x="872"/>
        <i x="35"/>
        <i x="186"/>
        <i x="153"/>
        <i x="775"/>
        <i x="664"/>
        <i x="299"/>
        <i x="84"/>
        <i x="51"/>
        <i x="625"/>
        <i x="97"/>
        <i x="343"/>
        <i x="292"/>
        <i x="489"/>
        <i x="260"/>
        <i x="864"/>
        <i x="968"/>
        <i x="941"/>
        <i x="942"/>
        <i x="98"/>
        <i x="209"/>
        <i x="626"/>
        <i x="601"/>
        <i x="399"/>
        <i x="206"/>
        <i x="639"/>
        <i x="141"/>
        <i x="90"/>
        <i x="245"/>
        <i x="410"/>
        <i x="589"/>
        <i x="723"/>
        <i x="200"/>
        <i x="214"/>
        <i x="858"/>
        <i x="950"/>
        <i x="187"/>
        <i x="132"/>
        <i x="667"/>
        <i x="424"/>
        <i x="16"/>
        <i x="595"/>
        <i x="795"/>
        <i x="760"/>
        <i x="935"/>
        <i x="207"/>
        <i x="565"/>
        <i x="524"/>
        <i x="556"/>
        <i x="374"/>
        <i x="761"/>
        <i x="672"/>
        <i x="510"/>
        <i x="375"/>
        <i x="685"/>
        <i x="73"/>
        <i x="261"/>
        <i x="386"/>
        <i x="912"/>
        <i x="318"/>
        <i x="94"/>
        <i x="799"/>
        <i x="142"/>
        <i x="843"/>
        <i x="627"/>
        <i x="675"/>
        <i x="697"/>
        <i x="746"/>
        <i x="821"/>
        <i x="143"/>
        <i x="137"/>
        <i x="705"/>
        <i x="520"/>
        <i x="4"/>
        <i x="596"/>
        <i x="694"/>
        <i x="779"/>
        <i x="676"/>
        <i x="144"/>
        <i x="36"/>
        <i x="439"/>
        <i x="651"/>
        <i x="41"/>
        <i x="457"/>
        <i x="440"/>
        <i x="833"/>
        <i x="613"/>
        <i x="503"/>
        <i x="210"/>
        <i x="525"/>
        <i x="865"/>
        <i x="406"/>
        <i x="873"/>
        <i x="834"/>
        <i x="262"/>
        <i x="22"/>
        <i x="102"/>
        <i x="733"/>
        <i x="902"/>
        <i x="545"/>
        <i x="533"/>
        <i x="253"/>
        <i x="665"/>
        <i x="17"/>
        <i x="352"/>
        <i x="112"/>
        <i x="656"/>
        <i x="874"/>
        <i x="706"/>
        <i x="681"/>
        <i x="275"/>
        <i x="364"/>
        <i x="504"/>
        <i x="614"/>
        <i x="784"/>
        <i x="337"/>
        <i x="668"/>
        <i x="411"/>
        <i x="126"/>
        <i x="987"/>
        <i x="995"/>
        <i x="762"/>
        <i x="249"/>
        <i x="338"/>
        <i x="308"/>
        <i x="859"/>
        <i x="287"/>
        <i x="196"/>
        <i x="903"/>
        <i x="894"/>
        <i x="293"/>
        <i x="882"/>
        <i x="962"/>
        <i x="465"/>
        <i x="416"/>
        <i x="74"/>
        <i x="157"/>
        <i x="64"/>
        <i x="929"/>
        <i x="875"/>
        <i x="822"/>
        <i x="344"/>
        <i x="963"/>
        <i x="193"/>
        <i x="391"/>
        <i x="552"/>
        <i x="215"/>
        <i x="780"/>
        <i x="920"/>
        <i x="645"/>
        <i x="572"/>
        <i x="376"/>
        <i x="983"/>
        <i x="431"/>
        <i x="889"/>
        <i x="579"/>
        <i x="188"/>
        <i x="561"/>
        <i x="477"/>
        <i x="392"/>
        <i x="542"/>
        <i x="168"/>
        <i x="553"/>
        <i x="521"/>
        <i x="449"/>
        <i x="707"/>
        <i x="57"/>
        <i x="770"/>
        <i x="154"/>
        <i x="824"/>
        <i x="811"/>
        <i x="787"/>
        <i x="679"/>
        <i x="917"/>
        <i x="796"/>
        <i x="127"/>
        <i x="756"/>
        <i x="951"/>
        <i x="835"/>
        <i x="370"/>
        <i x="825"/>
        <i x="526"/>
        <i x="81"/>
        <i x="836"/>
        <i x="955"/>
        <i x="175"/>
        <i x="615"/>
        <i x="118"/>
        <i x="812"/>
        <i x="646"/>
        <i x="772"/>
        <i x="878"/>
        <i x="562"/>
        <i x="633"/>
        <i x="921"/>
        <i x="669"/>
        <i x="237"/>
        <i x="890"/>
        <i x="417"/>
        <i x="345"/>
        <i x="353"/>
        <i x="52"/>
        <i x="490"/>
        <i x="907"/>
        <i x="483"/>
        <i x="797"/>
        <i x="747"/>
        <i x="748"/>
        <i x="65"/>
        <i x="742"/>
        <i x="972"/>
        <i x="145"/>
        <i x="119"/>
        <i x="727"/>
        <i x="5"/>
        <i x="792"/>
        <i x="219"/>
        <i x="960"/>
        <i x="113"/>
        <i x="956"/>
        <i x="814"/>
        <i x="652"/>
        <i x="323"/>
        <i x="837"/>
        <i x="471"/>
        <i x="590"/>
        <i x="250"/>
        <i x="766"/>
        <i x="597"/>
        <i x="472"/>
        <i x="458"/>
        <i x="988"/>
        <i x="776"/>
        <i x="989"/>
        <i x="511"/>
        <i x="473"/>
        <i x="283"/>
        <i x="208"/>
        <i x="37"/>
        <i x="176"/>
        <i x="734"/>
        <i x="512"/>
        <i x="12"/>
        <i x="466"/>
        <i x="365"/>
        <i x="138"/>
        <i x="964"/>
        <i x="238"/>
        <i x="591"/>
        <i x="294"/>
        <i x="462"/>
        <i x="607"/>
        <i x="860"/>
        <i x="89"/>
        <i x="957"/>
        <i x="505"/>
        <i x="708"/>
        <i x="979"/>
        <i x="653"/>
        <i x="922"/>
        <i x="443"/>
        <i x="454"/>
        <i x="263"/>
        <i x="288"/>
        <i x="53"/>
        <i x="387"/>
        <i x="270"/>
        <i x="103"/>
        <i x="303"/>
        <i x="739"/>
        <i x="930"/>
        <i x="27"/>
        <i x="319"/>
        <i x="23"/>
        <i x="690"/>
        <i x="634"/>
        <i x="895"/>
        <i x="254"/>
        <i x="686"/>
        <i x="146"/>
        <i x="182"/>
        <i x="936"/>
        <i x="534"/>
        <i x="563"/>
        <i x="580"/>
        <i x="487"/>
        <i x="120"/>
        <i x="425"/>
        <i x="177"/>
        <i x="728"/>
        <i x="197"/>
        <i x="757"/>
        <i x="680"/>
        <i x="147"/>
        <i x="178"/>
        <i x="773"/>
        <i x="320"/>
        <i x="239"/>
        <i x="657"/>
        <i x="709"/>
        <i x="382"/>
        <i x="231"/>
        <i x="6"/>
        <i x="785"/>
        <i x="346"/>
        <i x="91"/>
        <i x="488"/>
        <i x="121"/>
        <i x="855"/>
        <i x="749"/>
        <i x="735"/>
        <i x="698"/>
        <i x="220"/>
        <i x="931"/>
        <i x="114"/>
        <i x="357"/>
        <i x="232"/>
        <i x="183"/>
        <i x="444"/>
        <i x="54"/>
        <i x="658"/>
        <i x="710"/>
        <i x="721"/>
        <i x="179"/>
        <i x="324"/>
        <i x="891"/>
        <i x="923"/>
        <i x="666"/>
        <i x="581"/>
        <i x="826"/>
        <i x="866"/>
        <i x="943"/>
        <i x="546"/>
        <i x="879"/>
        <i x="201"/>
        <i x="478"/>
        <i x="933"/>
        <i x="908"/>
        <i x="24"/>
        <i x="92"/>
        <i x="758"/>
        <i x="412"/>
        <i x="932"/>
        <i x="608"/>
        <i x="513"/>
        <i x="687"/>
        <i x="155"/>
        <i x="66"/>
        <i x="522"/>
        <i x="724"/>
        <i x="251"/>
        <i x="750"/>
        <i x="896"/>
        <i x="904"/>
        <i x="180"/>
        <i x="582"/>
        <i x="844"/>
        <i x="767"/>
        <i x="909"/>
        <i x="609"/>
        <i x="99"/>
        <i x="371"/>
        <i x="514"/>
        <i x="602"/>
        <i x="867"/>
        <i x="809"/>
        <i x="400"/>
        <i x="905"/>
        <i x="751"/>
        <i x="616"/>
        <i x="441"/>
        <i x="194"/>
        <i x="868"/>
        <i x="276"/>
        <i x="937"/>
        <i x="325"/>
        <i x="70"/>
        <i x="827"/>
        <i x="432"/>
        <i x="518"/>
        <i x="216"/>
        <i x="95"/>
        <i x="85"/>
        <i x="924"/>
        <i x="880"/>
        <i x="224"/>
        <i x="621"/>
        <i x="277"/>
        <i x="659"/>
        <i x="169"/>
        <i x="198"/>
        <i x="221"/>
        <i x="640"/>
        <i x="46"/>
        <i x="800"/>
        <i x="944"/>
        <i x="128"/>
        <i x="388"/>
        <i x="845"/>
        <i x="628"/>
        <i x="377"/>
        <i x="256"/>
        <i x="813"/>
        <i x="660"/>
        <i x="996"/>
        <i x="691"/>
        <i x="883"/>
        <i x="156"/>
        <i x="527"/>
        <i x="856"/>
        <i x="913"/>
        <i x="383"/>
        <i x="426"/>
        <i x="938"/>
        <i x="309"/>
        <i x="104"/>
        <i x="246"/>
        <i x="18"/>
        <i x="255"/>
        <i x="310"/>
        <i x="910"/>
        <i x="7"/>
        <i x="635"/>
        <i x="629"/>
        <i x="75"/>
        <i x="58"/>
        <i x="211"/>
        <i x="418"/>
        <i x="740"/>
        <i x="122"/>
        <i x="378"/>
        <i x="695"/>
        <i x="791"/>
        <i x="661"/>
        <i x="807"/>
        <i x="67"/>
        <i x="925"/>
        <i x="801"/>
        <i x="38"/>
        <i x="28"/>
        <i x="76"/>
        <i x="647"/>
        <i x="158"/>
        <i x="289"/>
        <i x="358"/>
        <i x="688"/>
        <i x="161"/>
        <i x="547"/>
        <i x="897"/>
        <i x="304"/>
        <i x="965"/>
        <i x="105"/>
        <i x="496"/>
        <i x="846"/>
        <i x="264"/>
        <i x="892"/>
        <i x="566"/>
        <i x="413"/>
        <i x="592"/>
        <i x="548"/>
        <i x="567"/>
        <i x="162"/>
        <i x="269"/>
        <i x="429"/>
        <i x="484"/>
        <i x="240"/>
        <i x="966"/>
        <i x="519"/>
        <i x="945"/>
        <i x="401"/>
        <i x="642"/>
        <i x="25"/>
        <i x="463"/>
        <i x="603"/>
        <i x="379"/>
        <i x="339"/>
        <i x="515"/>
        <i x="946"/>
        <i x="990"/>
        <i x="997"/>
        <i x="172"/>
        <i x="788"/>
        <i x="354"/>
        <i x="311"/>
        <i x="148"/>
        <i x="106"/>
        <i x="818"/>
        <i x="479"/>
        <i x="741"/>
        <i x="189"/>
        <i x="393"/>
        <i x="252"/>
        <i x="419"/>
        <i x="911"/>
        <i x="366"/>
        <i x="682"/>
        <i x="568"/>
        <i x="838"/>
        <i x="77"/>
        <i x="630"/>
        <i x="271"/>
        <i x="184"/>
        <i x="506"/>
        <i x="636"/>
        <i x="247"/>
        <i x="998"/>
        <i x="884"/>
        <i x="714"/>
        <i x="729"/>
        <i x="86"/>
        <i x="47"/>
        <i x="78"/>
        <i x="485"/>
        <i x="347"/>
        <i x="715"/>
        <i x="573"/>
        <i x="622"/>
        <i x="583"/>
        <i x="414"/>
        <i x="222"/>
        <i x="815"/>
        <i x="947"/>
        <i x="129"/>
        <i x="535"/>
        <i x="574"/>
        <i x="876"/>
        <i x="26"/>
        <i x="295"/>
        <i x="296"/>
        <i x="433"/>
        <i x="617"/>
        <i x="536"/>
        <i x="340"/>
        <i x="29"/>
        <i x="467"/>
        <i x="618"/>
        <i x="241"/>
        <i x="847"/>
        <i x="789"/>
        <i x="730"/>
        <i x="991"/>
        <i x="610"/>
        <i x="549"/>
        <i x="598"/>
        <i x="611"/>
        <i x="450"/>
        <i x="768"/>
        <i x="497"/>
        <i x="173"/>
        <i x="149"/>
        <i x="123"/>
        <i x="115"/>
        <i x="486"/>
        <i x="272"/>
        <i x="777"/>
        <i x="380"/>
        <i x="848"/>
        <i x="849"/>
        <i x="79"/>
        <i x="163"/>
        <i x="13"/>
        <i x="480"/>
        <i x="87"/>
        <i x="59"/>
        <i x="528"/>
        <i x="752"/>
        <i x="736"/>
        <i x="839"/>
        <i x="967"/>
        <i x="786"/>
        <i x="217"/>
        <i x="402"/>
        <i x="699"/>
        <i x="537"/>
        <i x="107"/>
        <i x="763"/>
        <i x="459"/>
        <i x="367"/>
        <i x="80"/>
        <i x="133"/>
        <i x="491"/>
        <i x="451"/>
        <i x="164"/>
        <i x="203"/>
        <i x="108"/>
        <i x="861"/>
        <i x="538"/>
        <i x="599"/>
        <i x="71"/>
        <i x="312"/>
        <i x="297"/>
        <i x="134"/>
        <i x="934"/>
        <i x="850"/>
        <i x="692"/>
        <i x="637"/>
        <i x="60"/>
        <i x="109"/>
        <i x="321"/>
        <i x="722"/>
        <i x="233"/>
        <i x="93"/>
        <i x="939"/>
        <i x="190"/>
        <i x="30"/>
        <i x="445"/>
        <i x="165"/>
        <i x="442"/>
        <i x="992"/>
        <i x="529"/>
        <i x="481"/>
        <i x="185"/>
        <i x="926"/>
        <i x="42"/>
        <i x="585"/>
        <i x="492"/>
        <i x="918"/>
        <i x="474"/>
        <i x="359"/>
        <i x="700"/>
        <i x="396"/>
        <i x="731"/>
        <i x="557"/>
        <i x="701"/>
        <i x="355"/>
        <i x="61"/>
        <i x="641"/>
        <i x="278"/>
        <i x="948"/>
        <i x="55"/>
        <i x="265"/>
        <i x="877"/>
        <i x="523"/>
        <i x="407"/>
        <i x="781"/>
        <i x="234"/>
        <i x="446"/>
        <i x="475"/>
        <i x="631"/>
        <i x="248"/>
        <i x="973"/>
        <i x="711"/>
        <i x="654"/>
        <i x="124"/>
        <i x="300"/>
        <i x="575"/>
        <i x="619"/>
        <i x="14"/>
        <i x="170"/>
        <i x="110"/>
        <i x="242"/>
        <i x="530"/>
        <i x="48"/>
        <i x="305"/>
        <i x="702"/>
        <i x="712"/>
        <i x="564"/>
        <i x="56"/>
        <i x="498"/>
        <i x="43"/>
        <i x="830"/>
        <i x="191"/>
        <i x="716"/>
        <i x="802"/>
        <i x="257"/>
        <i x="769"/>
        <i x="919"/>
        <i x="447"/>
        <i x="793"/>
        <i x="150"/>
        <i x="279"/>
        <i x="906"/>
        <i x="19"/>
        <i x="620"/>
        <i x="980"/>
        <i x="655"/>
        <i x="306"/>
        <i x="333"/>
        <i x="974"/>
        <i x="384"/>
        <i x="8"/>
        <i x="195"/>
        <i x="326"/>
        <i x="683"/>
        <i x="840"/>
        <i x="116"/>
        <i x="501"/>
        <i x="831"/>
        <i x="984"/>
        <i x="593"/>
        <i x="803"/>
        <i x="368"/>
        <i x="360"/>
        <i x="348"/>
        <i x="576"/>
        <i x="181"/>
        <i x="632"/>
        <i x="927"/>
        <i x="313"/>
        <i x="49"/>
        <i x="638"/>
        <i x="135"/>
        <i x="363"/>
        <i x="798"/>
        <i x="623"/>
        <i x="893"/>
        <i x="958"/>
        <i x="159"/>
        <i x="284"/>
        <i x="397"/>
        <i x="677"/>
        <i x="851"/>
        <i x="389"/>
        <i x="356"/>
        <i x="280"/>
        <i x="334"/>
        <i x="531"/>
        <i x="952"/>
        <i x="703"/>
        <i x="507"/>
        <i x="285"/>
        <i x="82"/>
        <i x="643"/>
        <i x="427"/>
        <i x="753"/>
        <i x="670"/>
        <i x="307"/>
        <i x="455"/>
        <i x="975"/>
        <i x="20"/>
        <i x="648"/>
        <i x="885"/>
        <i x="202"/>
        <i x="381"/>
        <i x="717"/>
        <i x="327"/>
        <i x="673"/>
        <i x="372"/>
        <i x="898"/>
        <i x="235"/>
        <i x="612"/>
        <i x="869"/>
        <i x="369"/>
        <i x="558"/>
        <i x="743"/>
        <i x="985"/>
        <i x="273"/>
        <i x="448"/>
        <i x="981"/>
        <i x="969"/>
        <i x="993"/>
        <i x="243"/>
        <i x="468"/>
        <i x="899"/>
        <i x="790"/>
        <i x="662"/>
        <i x="9"/>
        <i x="139"/>
        <i x="624"/>
        <i x="764"/>
        <i x="586"/>
        <i x="394"/>
        <i x="437"/>
        <i x="96"/>
        <i x="718"/>
        <i x="594"/>
        <i x="469"/>
        <i x="693"/>
        <i x="266"/>
        <i x="420"/>
        <i x="713"/>
        <i x="862"/>
        <i x="428"/>
        <i x="111"/>
        <i x="166"/>
        <i x="949"/>
        <i x="863"/>
        <i x="852"/>
        <i x="204"/>
        <i x="328"/>
        <i x="804"/>
        <i x="390"/>
        <i x="314"/>
        <i x="737"/>
        <i x="970"/>
        <i x="298"/>
        <i x="853"/>
        <i x="994"/>
        <i x="434"/>
        <i x="430"/>
        <i x="823"/>
        <i x="828"/>
        <i x="959"/>
        <i x="870"/>
        <i x="744"/>
        <i x="415"/>
        <i x="900"/>
        <i x="464"/>
        <i x="540"/>
        <i x="349"/>
        <i x="336"/>
        <i x="732"/>
        <i x="258"/>
        <i x="385"/>
        <i x="940"/>
        <i x="267"/>
        <i x="403"/>
        <i x="223"/>
        <i x="782"/>
        <i x="704"/>
        <i x="587"/>
        <i x="976"/>
        <i x="663"/>
        <i x="999"/>
        <i x="516"/>
        <i x="373"/>
        <i x="461"/>
        <i x="482"/>
        <i x="600"/>
        <i x="604"/>
        <i x="452"/>
        <i x="341"/>
        <i x="832"/>
        <i x="286"/>
        <i x="554"/>
        <i x="886"/>
        <i x="649"/>
        <i x="10"/>
        <i x="244"/>
        <i x="408"/>
        <i x="335"/>
        <i x="11"/>
        <i x="409"/>
        <i x="68"/>
        <i x="550"/>
        <i x="551"/>
        <i x="227"/>
        <i x="539"/>
        <i x="361"/>
        <i x="759"/>
        <i x="31"/>
        <i x="725"/>
        <i x="39"/>
        <i x="532"/>
        <i x="559"/>
        <i x="167"/>
        <i x="569"/>
        <i x="857"/>
        <i x="192"/>
        <i x="914"/>
        <i x="44"/>
        <i x="136"/>
        <i x="395"/>
        <i x="650"/>
        <i x="421"/>
        <i x="225"/>
        <i x="774"/>
        <i x="228"/>
        <i x="130"/>
        <i x="493"/>
        <i x="977"/>
        <i x="674"/>
        <i x="887"/>
        <i x="605"/>
        <i x="499"/>
        <i x="953"/>
        <i x="476"/>
        <i x="301"/>
        <i x="21"/>
        <i x="62"/>
        <i x="438"/>
        <i x="517"/>
        <i x="259"/>
        <i x="404"/>
        <i x="456"/>
        <i x="494"/>
        <i x="140"/>
        <i x="281"/>
        <i x="689"/>
        <i x="460"/>
        <i x="671"/>
        <i x="738"/>
        <i x="888"/>
        <i x="422"/>
        <i x="765"/>
        <i x="131"/>
        <i x="315"/>
        <i x="32"/>
        <i x="45"/>
        <i x="74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9FF881F-3E71-4B9A-B31E-30A5BFA0CADB}" cache="Slicer_Region" caption="Region" rowHeight="244336"/>
  <slicer name="Product Category" xr10:uid="{47641728-B27B-4053-93D9-3219BACB6B4E}" cache="Slicer_Product_Category" caption="Product Category" rowHeight="244336"/>
  <slicer name="Gender" xr10:uid="{EA7FCA62-0DEC-4765-8837-9A3EF152AE40}" cache="Slicer_Gender" caption="Gender" rowHeight="244336"/>
  <slicer name="Order ID" xr10:uid="{2170E641-EBB5-4712-AA9B-BD322911E724}" cache="Slicer_Order_ID" caption="Order ID" startItem="42" rowHeight="244336"/>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3"/>
  <sheetViews>
    <sheetView topLeftCell="E1" workbookViewId="0">
      <selection sqref="A1:S2"/>
    </sheetView>
  </sheetViews>
  <sheetFormatPr defaultRowHeight="14.4" x14ac:dyDescent="0.3"/>
  <cols>
    <col min="2" max="2" width="12.21875" bestFit="1" customWidth="1"/>
    <col min="3" max="3" width="10.21875" bestFit="1" customWidth="1"/>
    <col min="4" max="4" width="10.21875" customWidth="1"/>
    <col min="5" max="5" width="18.77734375" bestFit="1" customWidth="1"/>
    <col min="6" max="6" width="8.44140625" bestFit="1" customWidth="1"/>
    <col min="7" max="7" width="14.21875" bestFit="1" customWidth="1"/>
    <col min="8" max="8" width="11.21875" bestFit="1" customWidth="1"/>
    <col min="9" max="9" width="10.77734375" bestFit="1" customWidth="1"/>
    <col min="10" max="10" width="11" bestFit="1" customWidth="1"/>
    <col min="11" max="11" width="20" bestFit="1" customWidth="1"/>
    <col min="12" max="12" width="17.44140625" bestFit="1" customWidth="1"/>
    <col min="13" max="13" width="13.77734375" bestFit="1" customWidth="1"/>
    <col min="14" max="14" width="16.21875" bestFit="1" customWidth="1"/>
    <col min="15" max="15" width="16.77734375" bestFit="1" customWidth="1"/>
    <col min="16" max="16" width="18.21875" bestFit="1" customWidth="1"/>
    <col min="17" max="17" width="16.44140625" bestFit="1" customWidth="1"/>
    <col min="18" max="19" width="19.21875" bestFit="1" customWidth="1"/>
  </cols>
  <sheetData>
    <row r="1" spans="1:19" x14ac:dyDescent="0.3">
      <c r="A1" s="14" t="s">
        <v>0</v>
      </c>
      <c r="B1" s="15"/>
      <c r="C1" s="15"/>
      <c r="D1" s="15"/>
      <c r="E1" s="15"/>
      <c r="F1" s="15"/>
      <c r="G1" s="15"/>
      <c r="H1" s="15"/>
      <c r="I1" s="15"/>
      <c r="J1" s="15"/>
      <c r="K1" s="15"/>
      <c r="L1" s="15"/>
      <c r="M1" s="15"/>
      <c r="N1" s="15"/>
      <c r="O1" s="15"/>
      <c r="P1" s="15"/>
      <c r="Q1" s="15"/>
      <c r="R1" s="15"/>
      <c r="S1" s="15"/>
    </row>
    <row r="2" spans="1:19" x14ac:dyDescent="0.3">
      <c r="A2" s="15"/>
      <c r="B2" s="15"/>
      <c r="C2" s="15"/>
      <c r="D2" s="15"/>
      <c r="E2" s="15"/>
      <c r="F2" s="15"/>
      <c r="G2" s="15"/>
      <c r="H2" s="15"/>
      <c r="I2" s="15"/>
      <c r="J2" s="15"/>
      <c r="K2" s="15"/>
      <c r="L2" s="15"/>
      <c r="M2" s="15"/>
      <c r="N2" s="15"/>
      <c r="O2" s="15"/>
      <c r="P2" s="15"/>
      <c r="Q2" s="15"/>
      <c r="R2" s="15"/>
      <c r="S2" s="15"/>
    </row>
    <row r="3" spans="1:19" x14ac:dyDescent="0.3">
      <c r="A3" s="5" t="s">
        <v>1</v>
      </c>
      <c r="B3" s="1" t="s">
        <v>2</v>
      </c>
      <c r="C3" s="1" t="s">
        <v>3</v>
      </c>
      <c r="D3" s="4" t="s">
        <v>4</v>
      </c>
      <c r="E3" s="1" t="s">
        <v>5</v>
      </c>
      <c r="F3" s="1" t="s">
        <v>6</v>
      </c>
      <c r="G3" s="4" t="s">
        <v>7</v>
      </c>
      <c r="H3" s="1" t="s">
        <v>8</v>
      </c>
      <c r="I3" s="1" t="s">
        <v>9</v>
      </c>
      <c r="J3" s="1" t="s">
        <v>10</v>
      </c>
      <c r="K3" s="1" t="s">
        <v>11</v>
      </c>
      <c r="L3" s="1" t="s">
        <v>12</v>
      </c>
      <c r="M3" s="1" t="s">
        <v>13</v>
      </c>
      <c r="N3" s="1" t="s">
        <v>14</v>
      </c>
      <c r="O3" s="1" t="s">
        <v>15</v>
      </c>
      <c r="P3" s="1" t="s">
        <v>16</v>
      </c>
      <c r="Q3" s="1" t="s">
        <v>17</v>
      </c>
      <c r="R3" s="1" t="s">
        <v>18</v>
      </c>
      <c r="S3" s="1" t="s">
        <v>19</v>
      </c>
    </row>
    <row r="4" spans="1:19" x14ac:dyDescent="0.3">
      <c r="A4">
        <v>1</v>
      </c>
      <c r="B4" t="s">
        <v>20</v>
      </c>
      <c r="C4" s="6">
        <v>45292</v>
      </c>
      <c r="D4" s="2" t="str">
        <f t="shared" ref="D4:D67" si="0">TEXT(C4,"mmmm")</f>
        <v>January</v>
      </c>
      <c r="E4" t="s">
        <v>21</v>
      </c>
      <c r="F4">
        <v>56</v>
      </c>
      <c r="G4" t="str">
        <f t="shared" ref="G4:G67" si="1">IF(F4&gt;=50,"Senior",IF(F4&gt;=30,"Adult","Teenager"))</f>
        <v>Senior</v>
      </c>
      <c r="H4" t="s">
        <v>22</v>
      </c>
      <c r="I4" t="s">
        <v>23</v>
      </c>
      <c r="J4" t="s">
        <v>24</v>
      </c>
      <c r="K4" t="s">
        <v>25</v>
      </c>
      <c r="L4" t="s">
        <v>26</v>
      </c>
      <c r="M4">
        <v>5</v>
      </c>
      <c r="N4">
        <v>46270</v>
      </c>
      <c r="O4">
        <v>231350</v>
      </c>
      <c r="P4" t="s">
        <v>27</v>
      </c>
      <c r="Q4">
        <v>2</v>
      </c>
      <c r="R4">
        <v>2</v>
      </c>
      <c r="S4" s="3" t="s">
        <v>28</v>
      </c>
    </row>
    <row r="5" spans="1:19" x14ac:dyDescent="0.3">
      <c r="A5">
        <v>2</v>
      </c>
      <c r="B5" t="s">
        <v>29</v>
      </c>
      <c r="C5" s="6">
        <v>45293</v>
      </c>
      <c r="D5" s="2" t="str">
        <f t="shared" si="0"/>
        <v>January</v>
      </c>
      <c r="E5" t="s">
        <v>30</v>
      </c>
      <c r="F5">
        <v>42</v>
      </c>
      <c r="G5" t="str">
        <f t="shared" si="1"/>
        <v>Adult</v>
      </c>
      <c r="H5" t="s">
        <v>22</v>
      </c>
      <c r="I5" t="s">
        <v>31</v>
      </c>
      <c r="J5" t="s">
        <v>32</v>
      </c>
      <c r="K5" t="s">
        <v>33</v>
      </c>
      <c r="L5" t="s">
        <v>34</v>
      </c>
      <c r="M5">
        <v>5</v>
      </c>
      <c r="N5">
        <v>28762</v>
      </c>
      <c r="O5">
        <v>143810</v>
      </c>
      <c r="P5" t="s">
        <v>27</v>
      </c>
      <c r="Q5">
        <v>1</v>
      </c>
      <c r="R5">
        <v>4</v>
      </c>
      <c r="S5" t="s">
        <v>28</v>
      </c>
    </row>
    <row r="6" spans="1:19" x14ac:dyDescent="0.3">
      <c r="A6">
        <v>3</v>
      </c>
      <c r="B6" t="s">
        <v>35</v>
      </c>
      <c r="C6" s="6">
        <v>45294</v>
      </c>
      <c r="D6" s="2" t="str">
        <f t="shared" si="0"/>
        <v>January</v>
      </c>
      <c r="E6" t="s">
        <v>36</v>
      </c>
      <c r="F6">
        <v>54</v>
      </c>
      <c r="G6" t="str">
        <f t="shared" si="1"/>
        <v>Senior</v>
      </c>
      <c r="H6" t="s">
        <v>22</v>
      </c>
      <c r="I6" t="s">
        <v>37</v>
      </c>
      <c r="J6" t="s">
        <v>32</v>
      </c>
      <c r="K6" t="s">
        <v>38</v>
      </c>
      <c r="L6" t="s">
        <v>39</v>
      </c>
      <c r="M6">
        <v>9</v>
      </c>
      <c r="N6">
        <v>14298</v>
      </c>
      <c r="O6">
        <v>128682</v>
      </c>
      <c r="P6" t="s">
        <v>27</v>
      </c>
      <c r="Q6">
        <v>7</v>
      </c>
      <c r="R6">
        <v>4</v>
      </c>
      <c r="S6" t="s">
        <v>28</v>
      </c>
    </row>
    <row r="7" spans="1:19" x14ac:dyDescent="0.3">
      <c r="A7">
        <v>4</v>
      </c>
      <c r="B7" t="s">
        <v>40</v>
      </c>
      <c r="C7" s="6">
        <v>45295</v>
      </c>
      <c r="D7" s="2" t="str">
        <f t="shared" si="0"/>
        <v>January</v>
      </c>
      <c r="E7" t="s">
        <v>41</v>
      </c>
      <c r="F7">
        <v>29</v>
      </c>
      <c r="G7" t="str">
        <f t="shared" si="1"/>
        <v>Teenager</v>
      </c>
      <c r="H7" t="s">
        <v>42</v>
      </c>
      <c r="I7" t="s">
        <v>43</v>
      </c>
      <c r="J7" t="s">
        <v>32</v>
      </c>
      <c r="K7" t="s">
        <v>44</v>
      </c>
      <c r="L7" t="s">
        <v>45</v>
      </c>
      <c r="M7">
        <v>6</v>
      </c>
      <c r="N7">
        <v>4923</v>
      </c>
      <c r="O7">
        <v>29538</v>
      </c>
      <c r="P7" t="s">
        <v>27</v>
      </c>
      <c r="Q7">
        <v>1</v>
      </c>
      <c r="R7">
        <v>4</v>
      </c>
      <c r="S7" t="s">
        <v>46</v>
      </c>
    </row>
    <row r="8" spans="1:19" x14ac:dyDescent="0.3">
      <c r="A8">
        <v>5</v>
      </c>
      <c r="B8" t="s">
        <v>47</v>
      </c>
      <c r="C8" s="6">
        <v>45296</v>
      </c>
      <c r="D8" s="2" t="str">
        <f t="shared" si="0"/>
        <v>January</v>
      </c>
      <c r="E8" t="s">
        <v>48</v>
      </c>
      <c r="F8">
        <v>57</v>
      </c>
      <c r="G8" t="str">
        <f t="shared" si="1"/>
        <v>Senior</v>
      </c>
      <c r="H8" t="s">
        <v>22</v>
      </c>
      <c r="I8" t="s">
        <v>49</v>
      </c>
      <c r="J8" t="s">
        <v>50</v>
      </c>
      <c r="K8" t="s">
        <v>51</v>
      </c>
      <c r="L8" t="s">
        <v>52</v>
      </c>
      <c r="M8">
        <v>10</v>
      </c>
      <c r="N8">
        <v>328</v>
      </c>
      <c r="O8">
        <v>3280</v>
      </c>
      <c r="P8" t="s">
        <v>53</v>
      </c>
      <c r="Q8">
        <v>6</v>
      </c>
      <c r="R8">
        <v>5</v>
      </c>
      <c r="S8" t="s">
        <v>46</v>
      </c>
    </row>
    <row r="9" spans="1:19" x14ac:dyDescent="0.3">
      <c r="A9">
        <v>6</v>
      </c>
      <c r="B9" t="s">
        <v>54</v>
      </c>
      <c r="C9" s="6">
        <v>45297</v>
      </c>
      <c r="D9" s="2" t="str">
        <f t="shared" si="0"/>
        <v>January</v>
      </c>
      <c r="E9" t="s">
        <v>55</v>
      </c>
      <c r="F9">
        <v>51</v>
      </c>
      <c r="G9" t="str">
        <f t="shared" si="1"/>
        <v>Senior</v>
      </c>
      <c r="H9" t="s">
        <v>42</v>
      </c>
      <c r="I9" t="s">
        <v>31</v>
      </c>
      <c r="J9" t="s">
        <v>24</v>
      </c>
      <c r="K9" t="s">
        <v>33</v>
      </c>
      <c r="L9" t="s">
        <v>34</v>
      </c>
      <c r="M9">
        <v>6</v>
      </c>
      <c r="N9">
        <v>26994</v>
      </c>
      <c r="O9">
        <v>161964</v>
      </c>
      <c r="P9" t="s">
        <v>53</v>
      </c>
      <c r="Q9">
        <v>2</v>
      </c>
      <c r="R9">
        <v>2</v>
      </c>
      <c r="S9" t="s">
        <v>28</v>
      </c>
    </row>
    <row r="10" spans="1:19" x14ac:dyDescent="0.3">
      <c r="A10">
        <v>7</v>
      </c>
      <c r="B10" t="s">
        <v>56</v>
      </c>
      <c r="C10" s="6">
        <v>45298</v>
      </c>
      <c r="D10" s="2" t="str">
        <f t="shared" si="0"/>
        <v>January</v>
      </c>
      <c r="E10" t="s">
        <v>57</v>
      </c>
      <c r="F10">
        <v>56</v>
      </c>
      <c r="G10" t="str">
        <f t="shared" si="1"/>
        <v>Senior</v>
      </c>
      <c r="H10" t="s">
        <v>42</v>
      </c>
      <c r="I10" t="s">
        <v>49</v>
      </c>
      <c r="J10" t="s">
        <v>50</v>
      </c>
      <c r="K10" t="s">
        <v>38</v>
      </c>
      <c r="L10" t="s">
        <v>39</v>
      </c>
      <c r="M10">
        <v>9</v>
      </c>
      <c r="N10">
        <v>43387</v>
      </c>
      <c r="O10">
        <v>390483</v>
      </c>
      <c r="P10" t="s">
        <v>53</v>
      </c>
      <c r="Q10">
        <v>1</v>
      </c>
      <c r="R10">
        <v>5</v>
      </c>
      <c r="S10" t="s">
        <v>28</v>
      </c>
    </row>
    <row r="11" spans="1:19" x14ac:dyDescent="0.3">
      <c r="A11">
        <v>8</v>
      </c>
      <c r="B11" t="s">
        <v>58</v>
      </c>
      <c r="C11" s="6">
        <v>45299</v>
      </c>
      <c r="D11" s="2" t="str">
        <f t="shared" si="0"/>
        <v>January</v>
      </c>
      <c r="E11" t="s">
        <v>59</v>
      </c>
      <c r="F11">
        <v>57</v>
      </c>
      <c r="G11" t="str">
        <f t="shared" si="1"/>
        <v>Senior</v>
      </c>
      <c r="H11" t="s">
        <v>22</v>
      </c>
      <c r="I11" t="s">
        <v>23</v>
      </c>
      <c r="J11" t="s">
        <v>50</v>
      </c>
      <c r="K11" t="s">
        <v>51</v>
      </c>
      <c r="L11" t="s">
        <v>60</v>
      </c>
      <c r="M11">
        <v>9</v>
      </c>
      <c r="N11">
        <v>134</v>
      </c>
      <c r="O11">
        <v>1206</v>
      </c>
      <c r="P11" t="s">
        <v>61</v>
      </c>
      <c r="Q11">
        <v>3</v>
      </c>
      <c r="R11">
        <v>3</v>
      </c>
      <c r="S11" t="s">
        <v>46</v>
      </c>
    </row>
    <row r="12" spans="1:19" x14ac:dyDescent="0.3">
      <c r="A12">
        <v>9</v>
      </c>
      <c r="B12" t="s">
        <v>62</v>
      </c>
      <c r="C12" s="6">
        <v>45300</v>
      </c>
      <c r="D12" s="2" t="str">
        <f t="shared" si="0"/>
        <v>January</v>
      </c>
      <c r="E12" t="s">
        <v>63</v>
      </c>
      <c r="F12">
        <v>60</v>
      </c>
      <c r="G12" t="str">
        <f t="shared" si="1"/>
        <v>Senior</v>
      </c>
      <c r="H12" t="s">
        <v>42</v>
      </c>
      <c r="I12" t="s">
        <v>64</v>
      </c>
      <c r="J12" t="s">
        <v>65</v>
      </c>
      <c r="K12" t="s">
        <v>25</v>
      </c>
      <c r="L12" t="s">
        <v>26</v>
      </c>
      <c r="M12">
        <v>5</v>
      </c>
      <c r="N12">
        <v>33098</v>
      </c>
      <c r="O12">
        <v>165490</v>
      </c>
      <c r="P12" t="s">
        <v>61</v>
      </c>
      <c r="Q12">
        <v>3</v>
      </c>
      <c r="R12">
        <v>1</v>
      </c>
      <c r="S12" t="s">
        <v>28</v>
      </c>
    </row>
    <row r="13" spans="1:19" x14ac:dyDescent="0.3">
      <c r="A13">
        <v>10</v>
      </c>
      <c r="B13" t="s">
        <v>66</v>
      </c>
      <c r="C13" s="6">
        <v>45301</v>
      </c>
      <c r="D13" s="2" t="str">
        <f t="shared" si="0"/>
        <v>January</v>
      </c>
      <c r="E13" t="s">
        <v>67</v>
      </c>
      <c r="F13">
        <v>53</v>
      </c>
      <c r="G13" t="str">
        <f t="shared" si="1"/>
        <v>Senior</v>
      </c>
      <c r="H13" t="s">
        <v>22</v>
      </c>
      <c r="I13" t="s">
        <v>31</v>
      </c>
      <c r="J13" t="s">
        <v>50</v>
      </c>
      <c r="K13" t="s">
        <v>51</v>
      </c>
      <c r="L13" t="s">
        <v>60</v>
      </c>
      <c r="M13">
        <v>6</v>
      </c>
      <c r="N13">
        <v>994</v>
      </c>
      <c r="O13">
        <v>5964</v>
      </c>
      <c r="P13" t="s">
        <v>27</v>
      </c>
      <c r="Q13">
        <v>9</v>
      </c>
      <c r="R13">
        <v>5</v>
      </c>
      <c r="S13" t="s">
        <v>46</v>
      </c>
    </row>
    <row r="14" spans="1:19" x14ac:dyDescent="0.3">
      <c r="A14">
        <v>11</v>
      </c>
      <c r="B14" t="s">
        <v>68</v>
      </c>
      <c r="C14" s="6">
        <v>45302</v>
      </c>
      <c r="D14" s="2" t="str">
        <f t="shared" si="0"/>
        <v>January</v>
      </c>
      <c r="E14" t="s">
        <v>69</v>
      </c>
      <c r="F14">
        <v>48</v>
      </c>
      <c r="G14" t="str">
        <f t="shared" si="1"/>
        <v>Adult</v>
      </c>
      <c r="H14" t="s">
        <v>22</v>
      </c>
      <c r="I14" t="s">
        <v>70</v>
      </c>
      <c r="J14" t="s">
        <v>32</v>
      </c>
      <c r="K14" t="s">
        <v>38</v>
      </c>
      <c r="L14" t="s">
        <v>71</v>
      </c>
      <c r="M14">
        <v>5</v>
      </c>
      <c r="N14">
        <v>6397</v>
      </c>
      <c r="O14">
        <v>31985</v>
      </c>
      <c r="P14" t="s">
        <v>27</v>
      </c>
      <c r="Q14">
        <v>6</v>
      </c>
      <c r="R14">
        <v>5</v>
      </c>
      <c r="S14" t="s">
        <v>46</v>
      </c>
    </row>
    <row r="15" spans="1:19" x14ac:dyDescent="0.3">
      <c r="A15">
        <v>12</v>
      </c>
      <c r="B15" t="s">
        <v>72</v>
      </c>
      <c r="C15" s="6">
        <v>45303</v>
      </c>
      <c r="D15" s="2" t="str">
        <f t="shared" si="0"/>
        <v>January</v>
      </c>
      <c r="E15" t="s">
        <v>73</v>
      </c>
      <c r="F15">
        <v>44</v>
      </c>
      <c r="G15" t="str">
        <f t="shared" si="1"/>
        <v>Adult</v>
      </c>
      <c r="H15" t="s">
        <v>22</v>
      </c>
      <c r="I15" t="s">
        <v>70</v>
      </c>
      <c r="J15" t="s">
        <v>50</v>
      </c>
      <c r="K15" t="s">
        <v>51</v>
      </c>
      <c r="L15" t="s">
        <v>74</v>
      </c>
      <c r="M15">
        <v>4</v>
      </c>
      <c r="N15">
        <v>477</v>
      </c>
      <c r="O15">
        <v>1908</v>
      </c>
      <c r="P15" t="s">
        <v>53</v>
      </c>
      <c r="Q15">
        <v>5</v>
      </c>
      <c r="R15">
        <v>3</v>
      </c>
      <c r="S15" t="s">
        <v>46</v>
      </c>
    </row>
    <row r="16" spans="1:19" x14ac:dyDescent="0.3">
      <c r="A16">
        <v>13</v>
      </c>
      <c r="B16" t="s">
        <v>75</v>
      </c>
      <c r="C16" s="6">
        <v>45304</v>
      </c>
      <c r="D16" s="2" t="str">
        <f t="shared" si="0"/>
        <v>January</v>
      </c>
      <c r="E16" t="s">
        <v>76</v>
      </c>
      <c r="F16">
        <v>56</v>
      </c>
      <c r="G16" t="str">
        <f t="shared" si="1"/>
        <v>Senior</v>
      </c>
      <c r="H16" t="s">
        <v>42</v>
      </c>
      <c r="I16" t="s">
        <v>64</v>
      </c>
      <c r="J16" t="s">
        <v>65</v>
      </c>
      <c r="K16" t="s">
        <v>25</v>
      </c>
      <c r="L16" t="s">
        <v>77</v>
      </c>
      <c r="M16">
        <v>9</v>
      </c>
      <c r="N16">
        <v>28846</v>
      </c>
      <c r="O16">
        <v>259614</v>
      </c>
      <c r="P16" t="s">
        <v>27</v>
      </c>
      <c r="Q16">
        <v>4</v>
      </c>
      <c r="R16">
        <v>2</v>
      </c>
      <c r="S16" t="s">
        <v>28</v>
      </c>
    </row>
    <row r="17" spans="1:19" x14ac:dyDescent="0.3">
      <c r="A17">
        <v>14</v>
      </c>
      <c r="B17" t="s">
        <v>78</v>
      </c>
      <c r="C17" s="6">
        <v>45305</v>
      </c>
      <c r="D17" s="2" t="str">
        <f t="shared" si="0"/>
        <v>January</v>
      </c>
      <c r="E17" t="s">
        <v>79</v>
      </c>
      <c r="F17">
        <v>23</v>
      </c>
      <c r="G17" t="str">
        <f t="shared" si="1"/>
        <v>Teenager</v>
      </c>
      <c r="H17" t="s">
        <v>42</v>
      </c>
      <c r="I17" t="s">
        <v>80</v>
      </c>
      <c r="J17" t="s">
        <v>32</v>
      </c>
      <c r="K17" t="s">
        <v>38</v>
      </c>
      <c r="L17" t="s">
        <v>81</v>
      </c>
      <c r="M17">
        <v>10</v>
      </c>
      <c r="N17">
        <v>37727</v>
      </c>
      <c r="O17">
        <v>377270</v>
      </c>
      <c r="P17" t="s">
        <v>27</v>
      </c>
      <c r="Q17">
        <v>5</v>
      </c>
      <c r="R17">
        <v>1</v>
      </c>
      <c r="S17" t="s">
        <v>46</v>
      </c>
    </row>
    <row r="18" spans="1:19" x14ac:dyDescent="0.3">
      <c r="A18">
        <v>15</v>
      </c>
      <c r="B18" t="s">
        <v>82</v>
      </c>
      <c r="C18" s="6">
        <v>45306</v>
      </c>
      <c r="D18" s="2" t="str">
        <f t="shared" si="0"/>
        <v>January</v>
      </c>
      <c r="E18" t="s">
        <v>83</v>
      </c>
      <c r="F18">
        <v>58</v>
      </c>
      <c r="G18" t="str">
        <f t="shared" si="1"/>
        <v>Senior</v>
      </c>
      <c r="H18" t="s">
        <v>42</v>
      </c>
      <c r="I18" t="s">
        <v>37</v>
      </c>
      <c r="J18" t="s">
        <v>65</v>
      </c>
      <c r="K18" t="s">
        <v>51</v>
      </c>
      <c r="L18" t="s">
        <v>52</v>
      </c>
      <c r="M18">
        <v>10</v>
      </c>
      <c r="N18">
        <v>1278</v>
      </c>
      <c r="O18">
        <v>12780</v>
      </c>
      <c r="P18" t="s">
        <v>61</v>
      </c>
      <c r="Q18">
        <v>1</v>
      </c>
      <c r="R18">
        <v>2</v>
      </c>
      <c r="S18" t="s">
        <v>28</v>
      </c>
    </row>
    <row r="19" spans="1:19" x14ac:dyDescent="0.3">
      <c r="A19">
        <v>16</v>
      </c>
      <c r="B19" t="s">
        <v>84</v>
      </c>
      <c r="C19" s="6">
        <v>45307</v>
      </c>
      <c r="D19" s="2" t="str">
        <f t="shared" si="0"/>
        <v>January</v>
      </c>
      <c r="E19" t="s">
        <v>85</v>
      </c>
      <c r="F19">
        <v>59</v>
      </c>
      <c r="G19" t="str">
        <f t="shared" si="1"/>
        <v>Senior</v>
      </c>
      <c r="H19" t="s">
        <v>42</v>
      </c>
      <c r="I19" t="s">
        <v>37</v>
      </c>
      <c r="J19" t="s">
        <v>50</v>
      </c>
      <c r="K19" t="s">
        <v>51</v>
      </c>
      <c r="L19" t="s">
        <v>86</v>
      </c>
      <c r="M19">
        <v>10</v>
      </c>
      <c r="N19">
        <v>1468</v>
      </c>
      <c r="O19">
        <v>14680</v>
      </c>
      <c r="P19" t="s">
        <v>27</v>
      </c>
      <c r="Q19">
        <v>2</v>
      </c>
      <c r="R19">
        <v>3</v>
      </c>
      <c r="S19" t="s">
        <v>28</v>
      </c>
    </row>
    <row r="20" spans="1:19" x14ac:dyDescent="0.3">
      <c r="A20">
        <v>17</v>
      </c>
      <c r="B20" t="s">
        <v>87</v>
      </c>
      <c r="C20" s="6">
        <v>45308</v>
      </c>
      <c r="D20" s="2" t="str">
        <f t="shared" si="0"/>
        <v>January</v>
      </c>
      <c r="E20" t="s">
        <v>88</v>
      </c>
      <c r="F20">
        <v>54</v>
      </c>
      <c r="G20" t="str">
        <f t="shared" si="1"/>
        <v>Senior</v>
      </c>
      <c r="H20" t="s">
        <v>42</v>
      </c>
      <c r="I20" t="s">
        <v>70</v>
      </c>
      <c r="J20" t="s">
        <v>50</v>
      </c>
      <c r="K20" t="s">
        <v>33</v>
      </c>
      <c r="L20" t="s">
        <v>89</v>
      </c>
      <c r="M20">
        <v>6</v>
      </c>
      <c r="N20">
        <v>5884</v>
      </c>
      <c r="O20">
        <v>35304</v>
      </c>
      <c r="P20" t="s">
        <v>27</v>
      </c>
      <c r="Q20">
        <v>2</v>
      </c>
      <c r="R20">
        <v>2</v>
      </c>
      <c r="S20" t="s">
        <v>46</v>
      </c>
    </row>
    <row r="21" spans="1:19" x14ac:dyDescent="0.3">
      <c r="A21">
        <v>18</v>
      </c>
      <c r="B21" t="s">
        <v>90</v>
      </c>
      <c r="C21" s="6">
        <v>45309</v>
      </c>
      <c r="D21" s="2" t="str">
        <f t="shared" si="0"/>
        <v>January</v>
      </c>
      <c r="E21" t="s">
        <v>67</v>
      </c>
      <c r="F21">
        <v>20</v>
      </c>
      <c r="G21" t="str">
        <f t="shared" si="1"/>
        <v>Teenager</v>
      </c>
      <c r="H21" t="s">
        <v>42</v>
      </c>
      <c r="I21" t="s">
        <v>43</v>
      </c>
      <c r="J21" t="s">
        <v>65</v>
      </c>
      <c r="K21" t="s">
        <v>44</v>
      </c>
      <c r="L21" t="s">
        <v>91</v>
      </c>
      <c r="M21">
        <v>7</v>
      </c>
      <c r="N21">
        <v>46193</v>
      </c>
      <c r="O21">
        <v>323351</v>
      </c>
      <c r="P21" t="s">
        <v>27</v>
      </c>
      <c r="Q21">
        <v>2</v>
      </c>
      <c r="R21">
        <v>5</v>
      </c>
      <c r="S21" t="s">
        <v>46</v>
      </c>
    </row>
    <row r="22" spans="1:19" x14ac:dyDescent="0.3">
      <c r="A22">
        <v>19</v>
      </c>
      <c r="B22" t="s">
        <v>92</v>
      </c>
      <c r="C22" s="6">
        <v>45310</v>
      </c>
      <c r="D22" s="2" t="str">
        <f t="shared" si="0"/>
        <v>January</v>
      </c>
      <c r="E22" t="s">
        <v>93</v>
      </c>
      <c r="F22">
        <v>47</v>
      </c>
      <c r="G22" t="str">
        <f t="shared" si="1"/>
        <v>Adult</v>
      </c>
      <c r="H22" t="s">
        <v>22</v>
      </c>
      <c r="I22" t="s">
        <v>37</v>
      </c>
      <c r="J22" t="s">
        <v>32</v>
      </c>
      <c r="K22" t="s">
        <v>25</v>
      </c>
      <c r="L22" t="s">
        <v>94</v>
      </c>
      <c r="M22">
        <v>5</v>
      </c>
      <c r="N22">
        <v>19071</v>
      </c>
      <c r="O22">
        <v>95355</v>
      </c>
      <c r="P22" t="s">
        <v>27</v>
      </c>
      <c r="Q22">
        <v>7</v>
      </c>
      <c r="R22">
        <v>2</v>
      </c>
      <c r="S22" t="s">
        <v>28</v>
      </c>
    </row>
    <row r="23" spans="1:19" x14ac:dyDescent="0.3">
      <c r="A23">
        <v>20</v>
      </c>
      <c r="B23" t="s">
        <v>95</v>
      </c>
      <c r="C23" s="6">
        <v>45311</v>
      </c>
      <c r="D23" s="2" t="str">
        <f t="shared" si="0"/>
        <v>January</v>
      </c>
      <c r="E23" t="s">
        <v>41</v>
      </c>
      <c r="F23">
        <v>39</v>
      </c>
      <c r="G23" t="str">
        <f t="shared" si="1"/>
        <v>Adult</v>
      </c>
      <c r="H23" t="s">
        <v>42</v>
      </c>
      <c r="I23" t="s">
        <v>70</v>
      </c>
      <c r="J23" t="s">
        <v>65</v>
      </c>
      <c r="K23" t="s">
        <v>38</v>
      </c>
      <c r="L23" t="s">
        <v>96</v>
      </c>
      <c r="M23">
        <v>1</v>
      </c>
      <c r="N23">
        <v>39128</v>
      </c>
      <c r="O23">
        <v>39128</v>
      </c>
      <c r="P23" t="s">
        <v>53</v>
      </c>
      <c r="Q23">
        <v>8</v>
      </c>
      <c r="R23">
        <v>5</v>
      </c>
      <c r="S23" t="s">
        <v>46</v>
      </c>
    </row>
    <row r="24" spans="1:19" x14ac:dyDescent="0.3">
      <c r="A24">
        <v>21</v>
      </c>
      <c r="B24" t="s">
        <v>97</v>
      </c>
      <c r="C24" s="6">
        <v>45312</v>
      </c>
      <c r="D24" s="2" t="str">
        <f t="shared" si="0"/>
        <v>January</v>
      </c>
      <c r="E24" t="s">
        <v>98</v>
      </c>
      <c r="F24">
        <v>44</v>
      </c>
      <c r="G24" t="str">
        <f t="shared" si="1"/>
        <v>Adult</v>
      </c>
      <c r="H24" t="s">
        <v>22</v>
      </c>
      <c r="I24" t="s">
        <v>31</v>
      </c>
      <c r="J24" t="s">
        <v>50</v>
      </c>
      <c r="K24" t="s">
        <v>38</v>
      </c>
      <c r="L24" t="s">
        <v>96</v>
      </c>
      <c r="M24">
        <v>1</v>
      </c>
      <c r="N24">
        <v>28473</v>
      </c>
      <c r="O24">
        <v>28473</v>
      </c>
      <c r="P24" t="s">
        <v>99</v>
      </c>
      <c r="Q24">
        <v>3</v>
      </c>
      <c r="R24">
        <v>1</v>
      </c>
      <c r="S24" t="s">
        <v>46</v>
      </c>
    </row>
    <row r="25" spans="1:19" x14ac:dyDescent="0.3">
      <c r="A25">
        <v>22</v>
      </c>
      <c r="B25" t="s">
        <v>100</v>
      </c>
      <c r="C25" s="6">
        <v>45313</v>
      </c>
      <c r="D25" s="2" t="str">
        <f t="shared" si="0"/>
        <v>January</v>
      </c>
      <c r="E25" t="s">
        <v>101</v>
      </c>
      <c r="F25">
        <v>33</v>
      </c>
      <c r="G25" t="str">
        <f t="shared" si="1"/>
        <v>Adult</v>
      </c>
      <c r="H25" t="s">
        <v>22</v>
      </c>
      <c r="I25" t="s">
        <v>102</v>
      </c>
      <c r="J25" t="s">
        <v>50</v>
      </c>
      <c r="K25" t="s">
        <v>51</v>
      </c>
      <c r="L25" t="s">
        <v>74</v>
      </c>
      <c r="M25">
        <v>8</v>
      </c>
      <c r="N25">
        <v>1198</v>
      </c>
      <c r="O25">
        <v>9584</v>
      </c>
      <c r="P25" t="s">
        <v>61</v>
      </c>
      <c r="Q25">
        <v>10</v>
      </c>
      <c r="R25">
        <v>4</v>
      </c>
      <c r="S25" t="s">
        <v>28</v>
      </c>
    </row>
    <row r="26" spans="1:19" x14ac:dyDescent="0.3">
      <c r="A26">
        <v>23</v>
      </c>
      <c r="B26" t="s">
        <v>103</v>
      </c>
      <c r="C26" s="6">
        <v>45314</v>
      </c>
      <c r="D26" s="2" t="str">
        <f t="shared" si="0"/>
        <v>January</v>
      </c>
      <c r="E26" t="s">
        <v>104</v>
      </c>
      <c r="F26">
        <v>46</v>
      </c>
      <c r="G26" t="str">
        <f t="shared" si="1"/>
        <v>Adult</v>
      </c>
      <c r="H26" t="s">
        <v>22</v>
      </c>
      <c r="I26" t="s">
        <v>64</v>
      </c>
      <c r="J26" t="s">
        <v>50</v>
      </c>
      <c r="K26" t="s">
        <v>25</v>
      </c>
      <c r="L26" t="s">
        <v>94</v>
      </c>
      <c r="M26">
        <v>5</v>
      </c>
      <c r="N26">
        <v>10618</v>
      </c>
      <c r="O26">
        <v>53090</v>
      </c>
      <c r="P26" t="s">
        <v>53</v>
      </c>
      <c r="Q26">
        <v>2</v>
      </c>
      <c r="R26">
        <v>3</v>
      </c>
      <c r="S26" t="s">
        <v>28</v>
      </c>
    </row>
    <row r="27" spans="1:19" x14ac:dyDescent="0.3">
      <c r="A27">
        <v>24</v>
      </c>
      <c r="B27" t="s">
        <v>105</v>
      </c>
      <c r="C27" s="6">
        <v>45315</v>
      </c>
      <c r="D27" s="2" t="str">
        <f t="shared" si="0"/>
        <v>January</v>
      </c>
      <c r="E27" t="s">
        <v>106</v>
      </c>
      <c r="F27">
        <v>32</v>
      </c>
      <c r="G27" t="str">
        <f t="shared" si="1"/>
        <v>Adult</v>
      </c>
      <c r="H27" t="s">
        <v>22</v>
      </c>
      <c r="I27" t="s">
        <v>31</v>
      </c>
      <c r="J27" t="s">
        <v>24</v>
      </c>
      <c r="K27" t="s">
        <v>51</v>
      </c>
      <c r="L27" t="s">
        <v>52</v>
      </c>
      <c r="M27">
        <v>10</v>
      </c>
      <c r="N27">
        <v>1138</v>
      </c>
      <c r="O27">
        <v>11380</v>
      </c>
      <c r="P27" t="s">
        <v>99</v>
      </c>
      <c r="Q27">
        <v>3</v>
      </c>
      <c r="R27">
        <v>2</v>
      </c>
      <c r="S27" t="s">
        <v>28</v>
      </c>
    </row>
    <row r="28" spans="1:19" x14ac:dyDescent="0.3">
      <c r="A28">
        <v>25</v>
      </c>
      <c r="B28" t="s">
        <v>107</v>
      </c>
      <c r="C28" s="6">
        <v>45316</v>
      </c>
      <c r="D28" s="2" t="str">
        <f t="shared" si="0"/>
        <v>January</v>
      </c>
      <c r="E28" t="s">
        <v>108</v>
      </c>
      <c r="F28">
        <v>21</v>
      </c>
      <c r="G28" t="str">
        <f t="shared" si="1"/>
        <v>Teenager</v>
      </c>
      <c r="H28" t="s">
        <v>22</v>
      </c>
      <c r="I28" t="s">
        <v>64</v>
      </c>
      <c r="J28" t="s">
        <v>50</v>
      </c>
      <c r="K28" t="s">
        <v>38</v>
      </c>
      <c r="L28" t="s">
        <v>96</v>
      </c>
      <c r="M28">
        <v>9</v>
      </c>
      <c r="N28">
        <v>30239</v>
      </c>
      <c r="O28">
        <v>272151</v>
      </c>
      <c r="P28" t="s">
        <v>61</v>
      </c>
      <c r="Q28">
        <v>3</v>
      </c>
      <c r="R28">
        <v>5</v>
      </c>
      <c r="S28" t="s">
        <v>46</v>
      </c>
    </row>
    <row r="29" spans="1:19" x14ac:dyDescent="0.3">
      <c r="A29">
        <v>26</v>
      </c>
      <c r="B29" t="s">
        <v>109</v>
      </c>
      <c r="C29" s="6">
        <v>45317</v>
      </c>
      <c r="D29" s="2" t="str">
        <f t="shared" si="0"/>
        <v>January</v>
      </c>
      <c r="E29" t="s">
        <v>110</v>
      </c>
      <c r="F29">
        <v>55</v>
      </c>
      <c r="G29" t="str">
        <f t="shared" si="1"/>
        <v>Senior</v>
      </c>
      <c r="H29" t="s">
        <v>42</v>
      </c>
      <c r="I29" t="s">
        <v>102</v>
      </c>
      <c r="J29" t="s">
        <v>32</v>
      </c>
      <c r="K29" t="s">
        <v>51</v>
      </c>
      <c r="L29" t="s">
        <v>111</v>
      </c>
      <c r="M29">
        <v>7</v>
      </c>
      <c r="N29">
        <v>963</v>
      </c>
      <c r="O29">
        <v>6741</v>
      </c>
      <c r="P29" t="s">
        <v>99</v>
      </c>
      <c r="Q29">
        <v>9</v>
      </c>
      <c r="R29">
        <v>2</v>
      </c>
      <c r="S29" t="s">
        <v>46</v>
      </c>
    </row>
    <row r="30" spans="1:19" x14ac:dyDescent="0.3">
      <c r="A30">
        <v>27</v>
      </c>
      <c r="B30" t="s">
        <v>112</v>
      </c>
      <c r="C30" s="6">
        <v>45318</v>
      </c>
      <c r="D30" s="2" t="str">
        <f t="shared" si="0"/>
        <v>January</v>
      </c>
      <c r="E30" t="s">
        <v>113</v>
      </c>
      <c r="F30">
        <v>46</v>
      </c>
      <c r="G30" t="str">
        <f t="shared" si="1"/>
        <v>Adult</v>
      </c>
      <c r="H30" t="s">
        <v>22</v>
      </c>
      <c r="I30" t="s">
        <v>31</v>
      </c>
      <c r="J30" t="s">
        <v>32</v>
      </c>
      <c r="K30" t="s">
        <v>44</v>
      </c>
      <c r="L30" t="s">
        <v>45</v>
      </c>
      <c r="M30">
        <v>1</v>
      </c>
      <c r="N30">
        <v>15444</v>
      </c>
      <c r="O30">
        <v>15444</v>
      </c>
      <c r="P30" t="s">
        <v>99</v>
      </c>
      <c r="Q30">
        <v>10</v>
      </c>
      <c r="R30">
        <v>1</v>
      </c>
      <c r="S30" t="s">
        <v>28</v>
      </c>
    </row>
    <row r="31" spans="1:19" x14ac:dyDescent="0.3">
      <c r="A31">
        <v>28</v>
      </c>
      <c r="B31" t="s">
        <v>114</v>
      </c>
      <c r="C31" s="6">
        <v>45319</v>
      </c>
      <c r="D31" s="2" t="str">
        <f t="shared" si="0"/>
        <v>January</v>
      </c>
      <c r="E31" t="s">
        <v>115</v>
      </c>
      <c r="F31">
        <v>52</v>
      </c>
      <c r="G31" t="str">
        <f t="shared" si="1"/>
        <v>Senior</v>
      </c>
      <c r="H31" t="s">
        <v>42</v>
      </c>
      <c r="I31" t="s">
        <v>102</v>
      </c>
      <c r="J31" t="s">
        <v>65</v>
      </c>
      <c r="K31" t="s">
        <v>44</v>
      </c>
      <c r="L31" t="s">
        <v>91</v>
      </c>
      <c r="M31">
        <v>10</v>
      </c>
      <c r="N31">
        <v>48036</v>
      </c>
      <c r="O31">
        <v>480360</v>
      </c>
      <c r="P31" t="s">
        <v>116</v>
      </c>
      <c r="Q31">
        <v>1</v>
      </c>
      <c r="R31">
        <v>4</v>
      </c>
      <c r="S31" t="s">
        <v>46</v>
      </c>
    </row>
    <row r="32" spans="1:19" x14ac:dyDescent="0.3">
      <c r="A32">
        <v>29</v>
      </c>
      <c r="B32" t="s">
        <v>117</v>
      </c>
      <c r="C32" s="6">
        <v>45320</v>
      </c>
      <c r="D32" s="2" t="str">
        <f t="shared" si="0"/>
        <v>January</v>
      </c>
      <c r="E32" t="s">
        <v>104</v>
      </c>
      <c r="F32">
        <v>27</v>
      </c>
      <c r="G32" t="str">
        <f t="shared" si="1"/>
        <v>Teenager</v>
      </c>
      <c r="H32" t="s">
        <v>22</v>
      </c>
      <c r="I32" t="s">
        <v>80</v>
      </c>
      <c r="J32" t="s">
        <v>50</v>
      </c>
      <c r="K32" t="s">
        <v>38</v>
      </c>
      <c r="L32" t="s">
        <v>71</v>
      </c>
      <c r="M32">
        <v>10</v>
      </c>
      <c r="N32">
        <v>16100</v>
      </c>
      <c r="O32">
        <v>161000</v>
      </c>
      <c r="P32" t="s">
        <v>116</v>
      </c>
      <c r="Q32">
        <v>5</v>
      </c>
      <c r="R32">
        <v>5</v>
      </c>
      <c r="S32" t="s">
        <v>28</v>
      </c>
    </row>
    <row r="33" spans="1:19" x14ac:dyDescent="0.3">
      <c r="A33">
        <v>30</v>
      </c>
      <c r="B33" t="s">
        <v>118</v>
      </c>
      <c r="C33" s="6">
        <v>45321</v>
      </c>
      <c r="D33" s="2" t="str">
        <f t="shared" si="0"/>
        <v>January</v>
      </c>
      <c r="E33" t="s">
        <v>119</v>
      </c>
      <c r="F33">
        <v>23</v>
      </c>
      <c r="G33" t="str">
        <f t="shared" si="1"/>
        <v>Teenager</v>
      </c>
      <c r="H33" t="s">
        <v>22</v>
      </c>
      <c r="I33" t="s">
        <v>120</v>
      </c>
      <c r="J33" t="s">
        <v>32</v>
      </c>
      <c r="K33" t="s">
        <v>44</v>
      </c>
      <c r="L33" t="s">
        <v>121</v>
      </c>
      <c r="M33">
        <v>5</v>
      </c>
      <c r="N33">
        <v>25133</v>
      </c>
      <c r="O33">
        <v>125665</v>
      </c>
      <c r="P33" t="s">
        <v>27</v>
      </c>
      <c r="Q33">
        <v>5</v>
      </c>
      <c r="R33">
        <v>4</v>
      </c>
      <c r="S33" t="s">
        <v>28</v>
      </c>
    </row>
    <row r="34" spans="1:19" x14ac:dyDescent="0.3">
      <c r="A34">
        <v>31</v>
      </c>
      <c r="B34" t="s">
        <v>122</v>
      </c>
      <c r="C34" s="6">
        <v>45322</v>
      </c>
      <c r="D34" s="2" t="str">
        <f t="shared" si="0"/>
        <v>January</v>
      </c>
      <c r="E34" t="s">
        <v>123</v>
      </c>
      <c r="F34">
        <v>52</v>
      </c>
      <c r="G34" t="str">
        <f t="shared" si="1"/>
        <v>Senior</v>
      </c>
      <c r="H34" t="s">
        <v>22</v>
      </c>
      <c r="I34" t="s">
        <v>37</v>
      </c>
      <c r="J34" t="s">
        <v>50</v>
      </c>
      <c r="K34" t="s">
        <v>25</v>
      </c>
      <c r="L34" t="s">
        <v>124</v>
      </c>
      <c r="M34">
        <v>4</v>
      </c>
      <c r="N34">
        <v>1772</v>
      </c>
      <c r="O34">
        <v>7088</v>
      </c>
      <c r="P34" t="s">
        <v>116</v>
      </c>
      <c r="Q34">
        <v>7</v>
      </c>
      <c r="R34">
        <v>4</v>
      </c>
      <c r="S34" t="s">
        <v>46</v>
      </c>
    </row>
    <row r="35" spans="1:19" x14ac:dyDescent="0.3">
      <c r="A35">
        <v>32</v>
      </c>
      <c r="B35" t="s">
        <v>125</v>
      </c>
      <c r="C35" s="6">
        <v>45323</v>
      </c>
      <c r="D35" s="2" t="str">
        <f t="shared" si="0"/>
        <v>February</v>
      </c>
      <c r="E35" t="s">
        <v>126</v>
      </c>
      <c r="F35">
        <v>36</v>
      </c>
      <c r="G35" t="str">
        <f t="shared" si="1"/>
        <v>Adult</v>
      </c>
      <c r="H35" t="s">
        <v>42</v>
      </c>
      <c r="I35" t="s">
        <v>120</v>
      </c>
      <c r="J35" t="s">
        <v>50</v>
      </c>
      <c r="K35" t="s">
        <v>38</v>
      </c>
      <c r="L35" t="s">
        <v>39</v>
      </c>
      <c r="M35">
        <v>4</v>
      </c>
      <c r="N35">
        <v>21327</v>
      </c>
      <c r="O35">
        <v>85308</v>
      </c>
      <c r="P35" t="s">
        <v>27</v>
      </c>
      <c r="Q35">
        <v>3</v>
      </c>
      <c r="R35">
        <v>3</v>
      </c>
      <c r="S35" t="s">
        <v>46</v>
      </c>
    </row>
    <row r="36" spans="1:19" x14ac:dyDescent="0.3">
      <c r="A36">
        <v>33</v>
      </c>
      <c r="B36" t="s">
        <v>127</v>
      </c>
      <c r="C36" s="6">
        <v>45324</v>
      </c>
      <c r="D36" s="2" t="str">
        <f t="shared" si="0"/>
        <v>February</v>
      </c>
      <c r="E36" t="s">
        <v>128</v>
      </c>
      <c r="F36">
        <v>53</v>
      </c>
      <c r="G36" t="str">
        <f t="shared" si="1"/>
        <v>Senior</v>
      </c>
      <c r="H36" t="s">
        <v>42</v>
      </c>
      <c r="I36" t="s">
        <v>49</v>
      </c>
      <c r="J36" t="s">
        <v>24</v>
      </c>
      <c r="K36" t="s">
        <v>25</v>
      </c>
      <c r="L36" t="s">
        <v>124</v>
      </c>
      <c r="M36">
        <v>9</v>
      </c>
      <c r="N36">
        <v>1024</v>
      </c>
      <c r="O36">
        <v>9216</v>
      </c>
      <c r="P36" t="s">
        <v>99</v>
      </c>
      <c r="Q36">
        <v>6</v>
      </c>
      <c r="R36">
        <v>4</v>
      </c>
      <c r="S36" t="s">
        <v>28</v>
      </c>
    </row>
    <row r="37" spans="1:19" x14ac:dyDescent="0.3">
      <c r="A37">
        <v>34</v>
      </c>
      <c r="B37" t="s">
        <v>129</v>
      </c>
      <c r="C37" s="6">
        <v>45325</v>
      </c>
      <c r="D37" s="2" t="str">
        <f t="shared" si="0"/>
        <v>February</v>
      </c>
      <c r="E37" t="s">
        <v>130</v>
      </c>
      <c r="F37">
        <v>39</v>
      </c>
      <c r="G37" t="str">
        <f t="shared" si="1"/>
        <v>Adult</v>
      </c>
      <c r="H37" t="s">
        <v>22</v>
      </c>
      <c r="I37" t="s">
        <v>37</v>
      </c>
      <c r="J37" t="s">
        <v>65</v>
      </c>
      <c r="K37" t="s">
        <v>51</v>
      </c>
      <c r="L37" t="s">
        <v>111</v>
      </c>
      <c r="M37">
        <v>7</v>
      </c>
      <c r="N37">
        <v>1441</v>
      </c>
      <c r="O37">
        <v>10087</v>
      </c>
      <c r="P37" t="s">
        <v>61</v>
      </c>
      <c r="Q37">
        <v>6</v>
      </c>
      <c r="R37">
        <v>1</v>
      </c>
      <c r="S37" t="s">
        <v>46</v>
      </c>
    </row>
    <row r="38" spans="1:19" x14ac:dyDescent="0.3">
      <c r="A38">
        <v>35</v>
      </c>
      <c r="B38" t="s">
        <v>131</v>
      </c>
      <c r="C38" s="6">
        <v>45326</v>
      </c>
      <c r="D38" s="2" t="str">
        <f t="shared" si="0"/>
        <v>February</v>
      </c>
      <c r="E38" t="s">
        <v>132</v>
      </c>
      <c r="F38">
        <v>54</v>
      </c>
      <c r="G38" t="str">
        <f t="shared" si="1"/>
        <v>Senior</v>
      </c>
      <c r="H38" t="s">
        <v>42</v>
      </c>
      <c r="I38" t="s">
        <v>23</v>
      </c>
      <c r="J38" t="s">
        <v>24</v>
      </c>
      <c r="K38" t="s">
        <v>25</v>
      </c>
      <c r="L38" t="s">
        <v>77</v>
      </c>
      <c r="M38">
        <v>9</v>
      </c>
      <c r="N38">
        <v>42897</v>
      </c>
      <c r="O38">
        <v>386073</v>
      </c>
      <c r="P38" t="s">
        <v>27</v>
      </c>
      <c r="Q38">
        <v>5</v>
      </c>
      <c r="R38">
        <v>2</v>
      </c>
      <c r="S38" t="s">
        <v>28</v>
      </c>
    </row>
    <row r="39" spans="1:19" x14ac:dyDescent="0.3">
      <c r="A39">
        <v>36</v>
      </c>
      <c r="B39" t="s">
        <v>133</v>
      </c>
      <c r="C39" s="6">
        <v>45327</v>
      </c>
      <c r="D39" s="2" t="str">
        <f t="shared" si="0"/>
        <v>February</v>
      </c>
      <c r="E39" t="s">
        <v>134</v>
      </c>
      <c r="F39">
        <v>43</v>
      </c>
      <c r="G39" t="str">
        <f t="shared" si="1"/>
        <v>Adult</v>
      </c>
      <c r="H39" t="s">
        <v>22</v>
      </c>
      <c r="I39" t="s">
        <v>102</v>
      </c>
      <c r="J39" t="s">
        <v>50</v>
      </c>
      <c r="K39" t="s">
        <v>38</v>
      </c>
      <c r="L39" t="s">
        <v>135</v>
      </c>
      <c r="M39">
        <v>4</v>
      </c>
      <c r="N39">
        <v>2047</v>
      </c>
      <c r="O39">
        <v>8188</v>
      </c>
      <c r="P39" t="s">
        <v>53</v>
      </c>
      <c r="Q39">
        <v>2</v>
      </c>
      <c r="R39">
        <v>3</v>
      </c>
      <c r="S39" t="s">
        <v>46</v>
      </c>
    </row>
    <row r="40" spans="1:19" x14ac:dyDescent="0.3">
      <c r="A40">
        <v>37</v>
      </c>
      <c r="B40" t="s">
        <v>136</v>
      </c>
      <c r="C40" s="6">
        <v>45328</v>
      </c>
      <c r="D40" s="2" t="str">
        <f t="shared" si="0"/>
        <v>February</v>
      </c>
      <c r="E40" t="s">
        <v>137</v>
      </c>
      <c r="F40">
        <v>36</v>
      </c>
      <c r="G40" t="str">
        <f t="shared" si="1"/>
        <v>Adult</v>
      </c>
      <c r="H40" t="s">
        <v>22</v>
      </c>
      <c r="I40" t="s">
        <v>37</v>
      </c>
      <c r="J40" t="s">
        <v>24</v>
      </c>
      <c r="K40" t="s">
        <v>25</v>
      </c>
      <c r="L40" t="s">
        <v>26</v>
      </c>
      <c r="M40">
        <v>5</v>
      </c>
      <c r="N40">
        <v>22683</v>
      </c>
      <c r="O40">
        <v>113415</v>
      </c>
      <c r="P40" t="s">
        <v>27</v>
      </c>
      <c r="Q40">
        <v>4</v>
      </c>
      <c r="R40">
        <v>5</v>
      </c>
      <c r="S40" t="s">
        <v>28</v>
      </c>
    </row>
    <row r="41" spans="1:19" x14ac:dyDescent="0.3">
      <c r="A41">
        <v>38</v>
      </c>
      <c r="B41" t="s">
        <v>138</v>
      </c>
      <c r="C41" s="6">
        <v>45329</v>
      </c>
      <c r="D41" s="2" t="str">
        <f t="shared" si="0"/>
        <v>February</v>
      </c>
      <c r="E41" t="s">
        <v>139</v>
      </c>
      <c r="F41">
        <v>23</v>
      </c>
      <c r="G41" t="str">
        <f t="shared" si="1"/>
        <v>Teenager</v>
      </c>
      <c r="H41" t="s">
        <v>42</v>
      </c>
      <c r="I41" t="s">
        <v>23</v>
      </c>
      <c r="J41" t="s">
        <v>32</v>
      </c>
      <c r="K41" t="s">
        <v>38</v>
      </c>
      <c r="L41" t="s">
        <v>71</v>
      </c>
      <c r="M41">
        <v>5</v>
      </c>
      <c r="N41">
        <v>15231</v>
      </c>
      <c r="O41">
        <v>76155</v>
      </c>
      <c r="P41" t="s">
        <v>116</v>
      </c>
      <c r="Q41">
        <v>5</v>
      </c>
      <c r="R41">
        <v>4</v>
      </c>
      <c r="S41" t="s">
        <v>46</v>
      </c>
    </row>
    <row r="42" spans="1:19" x14ac:dyDescent="0.3">
      <c r="A42">
        <v>39</v>
      </c>
      <c r="B42" t="s">
        <v>140</v>
      </c>
      <c r="C42" s="6">
        <v>45330</v>
      </c>
      <c r="D42" s="2" t="str">
        <f t="shared" si="0"/>
        <v>February</v>
      </c>
      <c r="E42" t="s">
        <v>141</v>
      </c>
      <c r="F42">
        <v>59</v>
      </c>
      <c r="G42" t="str">
        <f t="shared" si="1"/>
        <v>Senior</v>
      </c>
      <c r="H42" t="s">
        <v>42</v>
      </c>
      <c r="I42" t="s">
        <v>102</v>
      </c>
      <c r="J42" t="s">
        <v>50</v>
      </c>
      <c r="K42" t="s">
        <v>44</v>
      </c>
      <c r="L42" t="s">
        <v>121</v>
      </c>
      <c r="M42">
        <v>2</v>
      </c>
      <c r="N42">
        <v>19920</v>
      </c>
      <c r="O42">
        <v>39840</v>
      </c>
      <c r="P42" t="s">
        <v>27</v>
      </c>
      <c r="Q42">
        <v>3</v>
      </c>
      <c r="R42">
        <v>4</v>
      </c>
      <c r="S42" t="s">
        <v>28</v>
      </c>
    </row>
    <row r="43" spans="1:19" x14ac:dyDescent="0.3">
      <c r="A43">
        <v>40</v>
      </c>
      <c r="B43" t="s">
        <v>142</v>
      </c>
      <c r="C43" s="6">
        <v>45331</v>
      </c>
      <c r="D43" s="2" t="str">
        <f t="shared" si="0"/>
        <v>February</v>
      </c>
      <c r="E43" t="s">
        <v>143</v>
      </c>
      <c r="F43">
        <v>20</v>
      </c>
      <c r="G43" t="str">
        <f t="shared" si="1"/>
        <v>Teenager</v>
      </c>
      <c r="H43" t="s">
        <v>42</v>
      </c>
      <c r="I43" t="s">
        <v>31</v>
      </c>
      <c r="J43" t="s">
        <v>65</v>
      </c>
      <c r="K43" t="s">
        <v>38</v>
      </c>
      <c r="L43" t="s">
        <v>135</v>
      </c>
      <c r="M43">
        <v>6</v>
      </c>
      <c r="N43">
        <v>15280</v>
      </c>
      <c r="O43">
        <v>91680</v>
      </c>
      <c r="P43" t="s">
        <v>116</v>
      </c>
      <c r="Q43">
        <v>4</v>
      </c>
      <c r="R43">
        <v>3</v>
      </c>
      <c r="S43" t="s">
        <v>46</v>
      </c>
    </row>
    <row r="44" spans="1:19" x14ac:dyDescent="0.3">
      <c r="A44">
        <v>41</v>
      </c>
      <c r="B44" t="s">
        <v>144</v>
      </c>
      <c r="C44" s="6">
        <v>45332</v>
      </c>
      <c r="D44" s="2" t="str">
        <f t="shared" si="0"/>
        <v>February</v>
      </c>
      <c r="E44" t="s">
        <v>108</v>
      </c>
      <c r="F44">
        <v>21</v>
      </c>
      <c r="G44" t="str">
        <f t="shared" si="1"/>
        <v>Teenager</v>
      </c>
      <c r="H44" t="s">
        <v>22</v>
      </c>
      <c r="I44" t="s">
        <v>49</v>
      </c>
      <c r="J44" t="s">
        <v>65</v>
      </c>
      <c r="K44" t="s">
        <v>33</v>
      </c>
      <c r="L44" t="s">
        <v>34</v>
      </c>
      <c r="M44">
        <v>4</v>
      </c>
      <c r="N44">
        <v>35010</v>
      </c>
      <c r="O44">
        <v>140040</v>
      </c>
      <c r="P44" t="s">
        <v>27</v>
      </c>
      <c r="Q44">
        <v>10</v>
      </c>
      <c r="R44">
        <v>2</v>
      </c>
      <c r="S44" t="s">
        <v>46</v>
      </c>
    </row>
    <row r="45" spans="1:19" x14ac:dyDescent="0.3">
      <c r="A45">
        <v>42</v>
      </c>
      <c r="B45" t="s">
        <v>145</v>
      </c>
      <c r="C45" s="6">
        <v>45333</v>
      </c>
      <c r="D45" s="2" t="str">
        <f t="shared" si="0"/>
        <v>February</v>
      </c>
      <c r="E45" t="s">
        <v>146</v>
      </c>
      <c r="F45">
        <v>46</v>
      </c>
      <c r="G45" t="str">
        <f t="shared" si="1"/>
        <v>Adult</v>
      </c>
      <c r="H45" t="s">
        <v>22</v>
      </c>
      <c r="I45" t="s">
        <v>43</v>
      </c>
      <c r="J45" t="s">
        <v>24</v>
      </c>
      <c r="K45" t="s">
        <v>25</v>
      </c>
      <c r="L45" t="s">
        <v>94</v>
      </c>
      <c r="M45">
        <v>5</v>
      </c>
      <c r="N45">
        <v>49504</v>
      </c>
      <c r="O45">
        <v>247520</v>
      </c>
      <c r="P45" t="s">
        <v>99</v>
      </c>
      <c r="Q45">
        <v>10</v>
      </c>
      <c r="R45">
        <v>1</v>
      </c>
      <c r="S45" t="s">
        <v>46</v>
      </c>
    </row>
    <row r="46" spans="1:19" x14ac:dyDescent="0.3">
      <c r="A46">
        <v>43</v>
      </c>
      <c r="B46" t="s">
        <v>147</v>
      </c>
      <c r="C46" s="6">
        <v>45334</v>
      </c>
      <c r="D46" s="2" t="str">
        <f t="shared" si="0"/>
        <v>February</v>
      </c>
      <c r="E46" t="s">
        <v>148</v>
      </c>
      <c r="F46">
        <v>27</v>
      </c>
      <c r="G46" t="str">
        <f t="shared" si="1"/>
        <v>Teenager</v>
      </c>
      <c r="H46" t="s">
        <v>42</v>
      </c>
      <c r="I46" t="s">
        <v>102</v>
      </c>
      <c r="J46" t="s">
        <v>24</v>
      </c>
      <c r="K46" t="s">
        <v>38</v>
      </c>
      <c r="L46" t="s">
        <v>81</v>
      </c>
      <c r="M46">
        <v>7</v>
      </c>
      <c r="N46">
        <v>10011</v>
      </c>
      <c r="O46">
        <v>70077</v>
      </c>
      <c r="P46" t="s">
        <v>116</v>
      </c>
      <c r="Q46">
        <v>8</v>
      </c>
      <c r="R46">
        <v>2</v>
      </c>
      <c r="S46" t="s">
        <v>28</v>
      </c>
    </row>
    <row r="47" spans="1:19" x14ac:dyDescent="0.3">
      <c r="A47">
        <v>44</v>
      </c>
      <c r="B47" t="s">
        <v>149</v>
      </c>
      <c r="C47" s="6">
        <v>45335</v>
      </c>
      <c r="D47" s="2" t="str">
        <f t="shared" si="0"/>
        <v>February</v>
      </c>
      <c r="E47" t="s">
        <v>150</v>
      </c>
      <c r="F47">
        <v>18</v>
      </c>
      <c r="G47" t="str">
        <f t="shared" si="1"/>
        <v>Teenager</v>
      </c>
      <c r="H47" t="s">
        <v>42</v>
      </c>
      <c r="I47" t="s">
        <v>37</v>
      </c>
      <c r="J47" t="s">
        <v>65</v>
      </c>
      <c r="K47" t="s">
        <v>33</v>
      </c>
      <c r="L47" t="s">
        <v>34</v>
      </c>
      <c r="M47">
        <v>3</v>
      </c>
      <c r="N47">
        <v>5968</v>
      </c>
      <c r="O47">
        <v>17904</v>
      </c>
      <c r="P47" t="s">
        <v>116</v>
      </c>
      <c r="Q47">
        <v>6</v>
      </c>
      <c r="R47">
        <v>5</v>
      </c>
      <c r="S47" t="s">
        <v>46</v>
      </c>
    </row>
    <row r="48" spans="1:19" x14ac:dyDescent="0.3">
      <c r="A48">
        <v>45</v>
      </c>
      <c r="B48" t="s">
        <v>151</v>
      </c>
      <c r="C48" s="6">
        <v>45336</v>
      </c>
      <c r="D48" s="2" t="str">
        <f t="shared" si="0"/>
        <v>February</v>
      </c>
      <c r="E48" t="s">
        <v>152</v>
      </c>
      <c r="F48">
        <v>19</v>
      </c>
      <c r="G48" t="str">
        <f t="shared" si="1"/>
        <v>Teenager</v>
      </c>
      <c r="H48" t="s">
        <v>22</v>
      </c>
      <c r="I48" t="s">
        <v>64</v>
      </c>
      <c r="J48" t="s">
        <v>32</v>
      </c>
      <c r="K48" t="s">
        <v>33</v>
      </c>
      <c r="L48" t="s">
        <v>153</v>
      </c>
      <c r="M48">
        <v>9</v>
      </c>
      <c r="N48">
        <v>24909</v>
      </c>
      <c r="O48">
        <v>224181</v>
      </c>
      <c r="P48" t="s">
        <v>61</v>
      </c>
      <c r="Q48">
        <v>9</v>
      </c>
      <c r="R48">
        <v>2</v>
      </c>
      <c r="S48" t="s">
        <v>46</v>
      </c>
    </row>
    <row r="49" spans="1:19" x14ac:dyDescent="0.3">
      <c r="A49">
        <v>46</v>
      </c>
      <c r="B49" t="s">
        <v>154</v>
      </c>
      <c r="C49" s="6">
        <v>45337</v>
      </c>
      <c r="D49" s="2" t="str">
        <f t="shared" si="0"/>
        <v>February</v>
      </c>
      <c r="E49" t="s">
        <v>155</v>
      </c>
      <c r="F49">
        <v>41</v>
      </c>
      <c r="G49" t="str">
        <f t="shared" si="1"/>
        <v>Adult</v>
      </c>
      <c r="H49" t="s">
        <v>42</v>
      </c>
      <c r="I49" t="s">
        <v>70</v>
      </c>
      <c r="J49" t="s">
        <v>32</v>
      </c>
      <c r="K49" t="s">
        <v>44</v>
      </c>
      <c r="L49" t="s">
        <v>91</v>
      </c>
      <c r="M49">
        <v>3</v>
      </c>
      <c r="N49">
        <v>35275</v>
      </c>
      <c r="O49">
        <v>105825</v>
      </c>
      <c r="P49" t="s">
        <v>116</v>
      </c>
      <c r="Q49">
        <v>6</v>
      </c>
      <c r="R49">
        <v>1</v>
      </c>
      <c r="S49" t="s">
        <v>46</v>
      </c>
    </row>
    <row r="50" spans="1:19" x14ac:dyDescent="0.3">
      <c r="A50">
        <v>47</v>
      </c>
      <c r="B50" t="s">
        <v>156</v>
      </c>
      <c r="C50" s="6">
        <v>45338</v>
      </c>
      <c r="D50" s="2" t="str">
        <f t="shared" si="0"/>
        <v>February</v>
      </c>
      <c r="E50" t="s">
        <v>157</v>
      </c>
      <c r="F50">
        <v>60</v>
      </c>
      <c r="G50" t="str">
        <f t="shared" si="1"/>
        <v>Senior</v>
      </c>
      <c r="H50" t="s">
        <v>22</v>
      </c>
      <c r="I50" t="s">
        <v>70</v>
      </c>
      <c r="J50" t="s">
        <v>50</v>
      </c>
      <c r="K50" t="s">
        <v>33</v>
      </c>
      <c r="L50" t="s">
        <v>34</v>
      </c>
      <c r="M50">
        <v>5</v>
      </c>
      <c r="N50">
        <v>47105</v>
      </c>
      <c r="O50">
        <v>235525</v>
      </c>
      <c r="P50" t="s">
        <v>27</v>
      </c>
      <c r="Q50">
        <v>8</v>
      </c>
      <c r="R50">
        <v>1</v>
      </c>
      <c r="S50" t="s">
        <v>28</v>
      </c>
    </row>
    <row r="51" spans="1:19" x14ac:dyDescent="0.3">
      <c r="A51">
        <v>48</v>
      </c>
      <c r="B51" t="s">
        <v>158</v>
      </c>
      <c r="C51" s="6">
        <v>45339</v>
      </c>
      <c r="D51" s="2" t="str">
        <f t="shared" si="0"/>
        <v>February</v>
      </c>
      <c r="E51" t="s">
        <v>159</v>
      </c>
      <c r="F51">
        <v>19</v>
      </c>
      <c r="G51" t="str">
        <f t="shared" si="1"/>
        <v>Teenager</v>
      </c>
      <c r="H51" t="s">
        <v>42</v>
      </c>
      <c r="I51" t="s">
        <v>102</v>
      </c>
      <c r="J51" t="s">
        <v>24</v>
      </c>
      <c r="K51" t="s">
        <v>33</v>
      </c>
      <c r="L51" t="s">
        <v>160</v>
      </c>
      <c r="M51">
        <v>4</v>
      </c>
      <c r="N51">
        <v>15472</v>
      </c>
      <c r="O51">
        <v>61888</v>
      </c>
      <c r="P51" t="s">
        <v>53</v>
      </c>
      <c r="Q51">
        <v>9</v>
      </c>
      <c r="R51">
        <v>1</v>
      </c>
      <c r="S51" t="s">
        <v>28</v>
      </c>
    </row>
    <row r="52" spans="1:19" x14ac:dyDescent="0.3">
      <c r="A52">
        <v>49</v>
      </c>
      <c r="B52" t="s">
        <v>161</v>
      </c>
      <c r="C52" s="6">
        <v>45340</v>
      </c>
      <c r="D52" s="2" t="str">
        <f t="shared" si="0"/>
        <v>February</v>
      </c>
      <c r="E52" t="s">
        <v>162</v>
      </c>
      <c r="F52">
        <v>55</v>
      </c>
      <c r="G52" t="str">
        <f t="shared" si="1"/>
        <v>Senior</v>
      </c>
      <c r="H52" t="s">
        <v>22</v>
      </c>
      <c r="I52" t="s">
        <v>23</v>
      </c>
      <c r="J52" t="s">
        <v>65</v>
      </c>
      <c r="K52" t="s">
        <v>33</v>
      </c>
      <c r="L52" t="s">
        <v>153</v>
      </c>
      <c r="M52">
        <v>2</v>
      </c>
      <c r="N52">
        <v>11990</v>
      </c>
      <c r="O52">
        <v>23980</v>
      </c>
      <c r="P52" t="s">
        <v>53</v>
      </c>
      <c r="Q52">
        <v>7</v>
      </c>
      <c r="R52">
        <v>2</v>
      </c>
      <c r="S52" t="s">
        <v>28</v>
      </c>
    </row>
    <row r="53" spans="1:19" x14ac:dyDescent="0.3">
      <c r="A53">
        <v>50</v>
      </c>
      <c r="B53" t="s">
        <v>163</v>
      </c>
      <c r="C53" s="6">
        <v>45341</v>
      </c>
      <c r="D53" s="2" t="str">
        <f t="shared" si="0"/>
        <v>February</v>
      </c>
      <c r="E53" t="s">
        <v>164</v>
      </c>
      <c r="F53">
        <v>41</v>
      </c>
      <c r="G53" t="str">
        <f t="shared" si="1"/>
        <v>Adult</v>
      </c>
      <c r="H53" t="s">
        <v>22</v>
      </c>
      <c r="I53" t="s">
        <v>120</v>
      </c>
      <c r="J53" t="s">
        <v>24</v>
      </c>
      <c r="K53" t="s">
        <v>51</v>
      </c>
      <c r="L53" t="s">
        <v>60</v>
      </c>
      <c r="M53">
        <v>9</v>
      </c>
      <c r="N53">
        <v>1066</v>
      </c>
      <c r="O53">
        <v>9594</v>
      </c>
      <c r="P53" t="s">
        <v>116</v>
      </c>
      <c r="Q53">
        <v>4</v>
      </c>
      <c r="R53">
        <v>5</v>
      </c>
      <c r="S53" t="s">
        <v>28</v>
      </c>
    </row>
    <row r="54" spans="1:19" x14ac:dyDescent="0.3">
      <c r="A54">
        <v>51</v>
      </c>
      <c r="B54" t="s">
        <v>165</v>
      </c>
      <c r="C54" s="6">
        <v>45342</v>
      </c>
      <c r="D54" s="2" t="str">
        <f t="shared" si="0"/>
        <v>February</v>
      </c>
      <c r="E54" t="s">
        <v>166</v>
      </c>
      <c r="F54">
        <v>36</v>
      </c>
      <c r="G54" t="str">
        <f t="shared" si="1"/>
        <v>Adult</v>
      </c>
      <c r="H54" t="s">
        <v>42</v>
      </c>
      <c r="I54" t="s">
        <v>37</v>
      </c>
      <c r="J54" t="s">
        <v>50</v>
      </c>
      <c r="K54" t="s">
        <v>33</v>
      </c>
      <c r="L54" t="s">
        <v>89</v>
      </c>
      <c r="M54">
        <v>9</v>
      </c>
      <c r="N54">
        <v>48625</v>
      </c>
      <c r="O54">
        <v>437625</v>
      </c>
      <c r="P54" t="s">
        <v>99</v>
      </c>
      <c r="Q54">
        <v>8</v>
      </c>
      <c r="R54">
        <v>5</v>
      </c>
      <c r="S54" t="s">
        <v>46</v>
      </c>
    </row>
    <row r="55" spans="1:19" x14ac:dyDescent="0.3">
      <c r="A55">
        <v>52</v>
      </c>
      <c r="B55" t="s">
        <v>167</v>
      </c>
      <c r="C55" s="6">
        <v>45343</v>
      </c>
      <c r="D55" s="2" t="str">
        <f t="shared" si="0"/>
        <v>February</v>
      </c>
      <c r="E55" t="s">
        <v>168</v>
      </c>
      <c r="F55">
        <v>40</v>
      </c>
      <c r="G55" t="str">
        <f t="shared" si="1"/>
        <v>Adult</v>
      </c>
      <c r="H55" t="s">
        <v>42</v>
      </c>
      <c r="I55" t="s">
        <v>49</v>
      </c>
      <c r="J55" t="s">
        <v>65</v>
      </c>
      <c r="K55" t="s">
        <v>38</v>
      </c>
      <c r="L55" t="s">
        <v>135</v>
      </c>
      <c r="M55">
        <v>7</v>
      </c>
      <c r="N55">
        <v>26415</v>
      </c>
      <c r="O55">
        <v>184905</v>
      </c>
      <c r="P55" t="s">
        <v>27</v>
      </c>
      <c r="Q55">
        <v>7</v>
      </c>
      <c r="R55">
        <v>3</v>
      </c>
      <c r="S55" t="s">
        <v>46</v>
      </c>
    </row>
    <row r="56" spans="1:19" x14ac:dyDescent="0.3">
      <c r="A56">
        <v>53</v>
      </c>
      <c r="B56" t="s">
        <v>169</v>
      </c>
      <c r="C56" s="6">
        <v>45344</v>
      </c>
      <c r="D56" s="2" t="str">
        <f t="shared" si="0"/>
        <v>February</v>
      </c>
      <c r="E56" t="s">
        <v>170</v>
      </c>
      <c r="F56">
        <v>52</v>
      </c>
      <c r="G56" t="str">
        <f t="shared" si="1"/>
        <v>Senior</v>
      </c>
      <c r="H56" t="s">
        <v>22</v>
      </c>
      <c r="I56" t="s">
        <v>70</v>
      </c>
      <c r="J56" t="s">
        <v>65</v>
      </c>
      <c r="K56" t="s">
        <v>33</v>
      </c>
      <c r="L56" t="s">
        <v>34</v>
      </c>
      <c r="M56">
        <v>10</v>
      </c>
      <c r="N56">
        <v>48252</v>
      </c>
      <c r="O56">
        <v>482520</v>
      </c>
      <c r="P56" t="s">
        <v>53</v>
      </c>
      <c r="Q56">
        <v>3</v>
      </c>
      <c r="R56">
        <v>4</v>
      </c>
      <c r="S56" t="s">
        <v>46</v>
      </c>
    </row>
    <row r="57" spans="1:19" x14ac:dyDescent="0.3">
      <c r="A57">
        <v>54</v>
      </c>
      <c r="B57" t="s">
        <v>171</v>
      </c>
      <c r="C57" s="6">
        <v>45345</v>
      </c>
      <c r="D57" s="2" t="str">
        <f t="shared" si="0"/>
        <v>February</v>
      </c>
      <c r="E57" t="s">
        <v>172</v>
      </c>
      <c r="F57">
        <v>23</v>
      </c>
      <c r="G57" t="str">
        <f t="shared" si="1"/>
        <v>Teenager</v>
      </c>
      <c r="H57" t="s">
        <v>42</v>
      </c>
      <c r="I57" t="s">
        <v>49</v>
      </c>
      <c r="J57" t="s">
        <v>65</v>
      </c>
      <c r="K57" t="s">
        <v>33</v>
      </c>
      <c r="L57" t="s">
        <v>173</v>
      </c>
      <c r="M57">
        <v>2</v>
      </c>
      <c r="N57">
        <v>15058</v>
      </c>
      <c r="O57">
        <v>30116</v>
      </c>
      <c r="P57" t="s">
        <v>61</v>
      </c>
      <c r="Q57">
        <v>1</v>
      </c>
      <c r="R57">
        <v>4</v>
      </c>
      <c r="S57" t="s">
        <v>46</v>
      </c>
    </row>
    <row r="58" spans="1:19" x14ac:dyDescent="0.3">
      <c r="A58">
        <v>55</v>
      </c>
      <c r="B58" t="s">
        <v>174</v>
      </c>
      <c r="C58" s="6">
        <v>45346</v>
      </c>
      <c r="D58" s="2" t="str">
        <f t="shared" si="0"/>
        <v>February</v>
      </c>
      <c r="E58" t="s">
        <v>175</v>
      </c>
      <c r="F58">
        <v>41</v>
      </c>
      <c r="G58" t="str">
        <f t="shared" si="1"/>
        <v>Adult</v>
      </c>
      <c r="H58" t="s">
        <v>42</v>
      </c>
      <c r="I58" t="s">
        <v>120</v>
      </c>
      <c r="J58" t="s">
        <v>50</v>
      </c>
      <c r="K58" t="s">
        <v>38</v>
      </c>
      <c r="L58" t="s">
        <v>96</v>
      </c>
      <c r="M58">
        <v>9</v>
      </c>
      <c r="N58">
        <v>49390</v>
      </c>
      <c r="O58">
        <v>444510</v>
      </c>
      <c r="P58" t="s">
        <v>53</v>
      </c>
      <c r="Q58">
        <v>8</v>
      </c>
      <c r="R58">
        <v>5</v>
      </c>
      <c r="S58" t="s">
        <v>46</v>
      </c>
    </row>
    <row r="59" spans="1:19" x14ac:dyDescent="0.3">
      <c r="A59">
        <v>56</v>
      </c>
      <c r="B59" t="s">
        <v>176</v>
      </c>
      <c r="C59" s="6">
        <v>45347</v>
      </c>
      <c r="D59" s="2" t="str">
        <f t="shared" si="0"/>
        <v>February</v>
      </c>
      <c r="E59" t="s">
        <v>177</v>
      </c>
      <c r="F59">
        <v>48</v>
      </c>
      <c r="G59" t="str">
        <f t="shared" si="1"/>
        <v>Adult</v>
      </c>
      <c r="H59" t="s">
        <v>42</v>
      </c>
      <c r="I59" t="s">
        <v>102</v>
      </c>
      <c r="J59" t="s">
        <v>65</v>
      </c>
      <c r="K59" t="s">
        <v>44</v>
      </c>
      <c r="L59" t="s">
        <v>178</v>
      </c>
      <c r="M59">
        <v>10</v>
      </c>
      <c r="N59">
        <v>25122</v>
      </c>
      <c r="O59">
        <v>251220</v>
      </c>
      <c r="P59" t="s">
        <v>99</v>
      </c>
      <c r="Q59">
        <v>6</v>
      </c>
      <c r="R59">
        <v>4</v>
      </c>
      <c r="S59" t="s">
        <v>28</v>
      </c>
    </row>
    <row r="60" spans="1:19" x14ac:dyDescent="0.3">
      <c r="A60">
        <v>57</v>
      </c>
      <c r="B60" t="s">
        <v>179</v>
      </c>
      <c r="C60" s="6">
        <v>45348</v>
      </c>
      <c r="D60" s="2" t="str">
        <f t="shared" si="0"/>
        <v>February</v>
      </c>
      <c r="E60" t="s">
        <v>180</v>
      </c>
      <c r="F60">
        <v>20</v>
      </c>
      <c r="G60" t="str">
        <f t="shared" si="1"/>
        <v>Teenager</v>
      </c>
      <c r="H60" t="s">
        <v>22</v>
      </c>
      <c r="I60" t="s">
        <v>64</v>
      </c>
      <c r="J60" t="s">
        <v>24</v>
      </c>
      <c r="K60" t="s">
        <v>33</v>
      </c>
      <c r="L60" t="s">
        <v>153</v>
      </c>
      <c r="M60">
        <v>7</v>
      </c>
      <c r="N60">
        <v>47599</v>
      </c>
      <c r="O60">
        <v>333193</v>
      </c>
      <c r="P60" t="s">
        <v>53</v>
      </c>
      <c r="Q60">
        <v>5</v>
      </c>
      <c r="R60">
        <v>3</v>
      </c>
      <c r="S60" t="s">
        <v>28</v>
      </c>
    </row>
    <row r="61" spans="1:19" x14ac:dyDescent="0.3">
      <c r="A61">
        <v>58</v>
      </c>
      <c r="B61" t="s">
        <v>181</v>
      </c>
      <c r="C61" s="6">
        <v>45349</v>
      </c>
      <c r="D61" s="2" t="str">
        <f t="shared" si="0"/>
        <v>February</v>
      </c>
      <c r="E61" t="s">
        <v>182</v>
      </c>
      <c r="F61">
        <v>38</v>
      </c>
      <c r="G61" t="str">
        <f t="shared" si="1"/>
        <v>Adult</v>
      </c>
      <c r="H61" t="s">
        <v>22</v>
      </c>
      <c r="I61" t="s">
        <v>37</v>
      </c>
      <c r="J61" t="s">
        <v>24</v>
      </c>
      <c r="K61" t="s">
        <v>38</v>
      </c>
      <c r="L61" t="s">
        <v>39</v>
      </c>
      <c r="M61">
        <v>3</v>
      </c>
      <c r="N61">
        <v>43673</v>
      </c>
      <c r="O61">
        <v>131019</v>
      </c>
      <c r="P61" t="s">
        <v>116</v>
      </c>
      <c r="Q61">
        <v>6</v>
      </c>
      <c r="R61">
        <v>3</v>
      </c>
      <c r="S61" t="s">
        <v>28</v>
      </c>
    </row>
    <row r="62" spans="1:19" x14ac:dyDescent="0.3">
      <c r="A62">
        <v>59</v>
      </c>
      <c r="B62" t="s">
        <v>183</v>
      </c>
      <c r="C62" s="6">
        <v>45350</v>
      </c>
      <c r="D62" s="2" t="str">
        <f t="shared" si="0"/>
        <v>February</v>
      </c>
      <c r="E62" t="s">
        <v>184</v>
      </c>
      <c r="F62">
        <v>53</v>
      </c>
      <c r="G62" t="str">
        <f t="shared" si="1"/>
        <v>Senior</v>
      </c>
      <c r="H62" t="s">
        <v>22</v>
      </c>
      <c r="I62" t="s">
        <v>80</v>
      </c>
      <c r="J62" t="s">
        <v>50</v>
      </c>
      <c r="K62" t="s">
        <v>38</v>
      </c>
      <c r="L62" t="s">
        <v>96</v>
      </c>
      <c r="M62">
        <v>2</v>
      </c>
      <c r="N62">
        <v>23111</v>
      </c>
      <c r="O62">
        <v>46222</v>
      </c>
      <c r="P62" t="s">
        <v>99</v>
      </c>
      <c r="Q62">
        <v>4</v>
      </c>
      <c r="R62">
        <v>3</v>
      </c>
      <c r="S62" t="s">
        <v>46</v>
      </c>
    </row>
    <row r="63" spans="1:19" x14ac:dyDescent="0.3">
      <c r="A63">
        <v>60</v>
      </c>
      <c r="B63" t="s">
        <v>185</v>
      </c>
      <c r="C63" s="6">
        <v>45351</v>
      </c>
      <c r="D63" s="2" t="str">
        <f t="shared" si="0"/>
        <v>February</v>
      </c>
      <c r="E63" t="s">
        <v>186</v>
      </c>
      <c r="F63">
        <v>31</v>
      </c>
      <c r="G63" t="str">
        <f t="shared" si="1"/>
        <v>Adult</v>
      </c>
      <c r="H63" t="s">
        <v>42</v>
      </c>
      <c r="I63" t="s">
        <v>37</v>
      </c>
      <c r="J63" t="s">
        <v>65</v>
      </c>
      <c r="K63" t="s">
        <v>38</v>
      </c>
      <c r="L63" t="s">
        <v>39</v>
      </c>
      <c r="M63">
        <v>2</v>
      </c>
      <c r="N63">
        <v>33370</v>
      </c>
      <c r="O63">
        <v>66740</v>
      </c>
      <c r="P63" t="s">
        <v>53</v>
      </c>
      <c r="Q63">
        <v>6</v>
      </c>
      <c r="R63">
        <v>5</v>
      </c>
      <c r="S63" t="s">
        <v>46</v>
      </c>
    </row>
    <row r="64" spans="1:19" x14ac:dyDescent="0.3">
      <c r="A64">
        <v>61</v>
      </c>
      <c r="B64" t="s">
        <v>187</v>
      </c>
      <c r="C64" s="6">
        <v>45352</v>
      </c>
      <c r="D64" s="2" t="str">
        <f t="shared" si="0"/>
        <v>March</v>
      </c>
      <c r="E64" t="s">
        <v>188</v>
      </c>
      <c r="F64">
        <v>26</v>
      </c>
      <c r="G64" t="str">
        <f t="shared" si="1"/>
        <v>Teenager</v>
      </c>
      <c r="H64" t="s">
        <v>22</v>
      </c>
      <c r="I64" t="s">
        <v>64</v>
      </c>
      <c r="J64" t="s">
        <v>32</v>
      </c>
      <c r="K64" t="s">
        <v>25</v>
      </c>
      <c r="L64" t="s">
        <v>189</v>
      </c>
      <c r="M64">
        <v>2</v>
      </c>
      <c r="N64">
        <v>291</v>
      </c>
      <c r="O64">
        <v>582</v>
      </c>
      <c r="P64" t="s">
        <v>53</v>
      </c>
      <c r="Q64">
        <v>10</v>
      </c>
      <c r="R64">
        <v>3</v>
      </c>
      <c r="S64" t="s">
        <v>28</v>
      </c>
    </row>
    <row r="65" spans="1:19" x14ac:dyDescent="0.3">
      <c r="A65">
        <v>62</v>
      </c>
      <c r="B65" t="s">
        <v>190</v>
      </c>
      <c r="C65" s="6">
        <v>45353</v>
      </c>
      <c r="D65" s="2" t="str">
        <f t="shared" si="0"/>
        <v>March</v>
      </c>
      <c r="E65" t="s">
        <v>30</v>
      </c>
      <c r="F65">
        <v>43</v>
      </c>
      <c r="G65" t="str">
        <f t="shared" si="1"/>
        <v>Adult</v>
      </c>
      <c r="H65" t="s">
        <v>22</v>
      </c>
      <c r="I65" t="s">
        <v>120</v>
      </c>
      <c r="J65" t="s">
        <v>32</v>
      </c>
      <c r="K65" t="s">
        <v>33</v>
      </c>
      <c r="L65" t="s">
        <v>160</v>
      </c>
      <c r="M65">
        <v>9</v>
      </c>
      <c r="N65">
        <v>41135</v>
      </c>
      <c r="O65">
        <v>370215</v>
      </c>
      <c r="P65" t="s">
        <v>53</v>
      </c>
      <c r="Q65">
        <v>6</v>
      </c>
      <c r="R65">
        <v>1</v>
      </c>
      <c r="S65" t="s">
        <v>28</v>
      </c>
    </row>
    <row r="66" spans="1:19" x14ac:dyDescent="0.3">
      <c r="A66">
        <v>63</v>
      </c>
      <c r="B66" t="s">
        <v>191</v>
      </c>
      <c r="C66" s="6">
        <v>45354</v>
      </c>
      <c r="D66" s="2" t="str">
        <f t="shared" si="0"/>
        <v>March</v>
      </c>
      <c r="E66" t="s">
        <v>192</v>
      </c>
      <c r="F66">
        <v>55</v>
      </c>
      <c r="G66" t="str">
        <f t="shared" si="1"/>
        <v>Senior</v>
      </c>
      <c r="H66" t="s">
        <v>42</v>
      </c>
      <c r="I66" t="s">
        <v>120</v>
      </c>
      <c r="J66" t="s">
        <v>24</v>
      </c>
      <c r="K66" t="s">
        <v>38</v>
      </c>
      <c r="L66" t="s">
        <v>96</v>
      </c>
      <c r="M66">
        <v>6</v>
      </c>
      <c r="N66">
        <v>38218</v>
      </c>
      <c r="O66">
        <v>229308</v>
      </c>
      <c r="P66" t="s">
        <v>61</v>
      </c>
      <c r="Q66">
        <v>7</v>
      </c>
      <c r="R66">
        <v>4</v>
      </c>
      <c r="S66" t="s">
        <v>46</v>
      </c>
    </row>
    <row r="67" spans="1:19" x14ac:dyDescent="0.3">
      <c r="A67">
        <v>64</v>
      </c>
      <c r="B67" t="s">
        <v>193</v>
      </c>
      <c r="C67" s="6">
        <v>45355</v>
      </c>
      <c r="D67" s="2" t="str">
        <f t="shared" si="0"/>
        <v>March</v>
      </c>
      <c r="E67" t="s">
        <v>194</v>
      </c>
      <c r="F67">
        <v>56</v>
      </c>
      <c r="G67" t="str">
        <f t="shared" si="1"/>
        <v>Senior</v>
      </c>
      <c r="H67" t="s">
        <v>42</v>
      </c>
      <c r="I67" t="s">
        <v>64</v>
      </c>
      <c r="J67" t="s">
        <v>32</v>
      </c>
      <c r="K67" t="s">
        <v>51</v>
      </c>
      <c r="L67" t="s">
        <v>60</v>
      </c>
      <c r="M67">
        <v>3</v>
      </c>
      <c r="N67">
        <v>1615</v>
      </c>
      <c r="O67">
        <v>4845</v>
      </c>
      <c r="P67" t="s">
        <v>53</v>
      </c>
      <c r="Q67">
        <v>5</v>
      </c>
      <c r="R67">
        <v>3</v>
      </c>
      <c r="S67" t="s">
        <v>46</v>
      </c>
    </row>
    <row r="68" spans="1:19" x14ac:dyDescent="0.3">
      <c r="A68">
        <v>65</v>
      </c>
      <c r="B68" t="s">
        <v>195</v>
      </c>
      <c r="C68" s="6">
        <v>45356</v>
      </c>
      <c r="D68" s="2" t="str">
        <f t="shared" ref="D68:D131" si="2">TEXT(C68,"mmmm")</f>
        <v>March</v>
      </c>
      <c r="E68" t="s">
        <v>196</v>
      </c>
      <c r="F68">
        <v>47</v>
      </c>
      <c r="G68" t="str">
        <f t="shared" ref="G68:G131" si="3">IF(F68&gt;=50,"Senior",IF(F68&gt;=30,"Adult","Teenager"))</f>
        <v>Adult</v>
      </c>
      <c r="H68" t="s">
        <v>22</v>
      </c>
      <c r="I68" t="s">
        <v>102</v>
      </c>
      <c r="J68" t="s">
        <v>65</v>
      </c>
      <c r="K68" t="s">
        <v>44</v>
      </c>
      <c r="L68" t="s">
        <v>178</v>
      </c>
      <c r="M68">
        <v>3</v>
      </c>
      <c r="N68">
        <v>49498</v>
      </c>
      <c r="O68">
        <v>148494</v>
      </c>
      <c r="P68" t="s">
        <v>99</v>
      </c>
      <c r="Q68">
        <v>2</v>
      </c>
      <c r="R68">
        <v>3</v>
      </c>
      <c r="S68" t="s">
        <v>28</v>
      </c>
    </row>
    <row r="69" spans="1:19" x14ac:dyDescent="0.3">
      <c r="A69">
        <v>66</v>
      </c>
      <c r="B69" t="s">
        <v>197</v>
      </c>
      <c r="C69" s="6">
        <v>45357</v>
      </c>
      <c r="D69" s="2" t="str">
        <f t="shared" si="2"/>
        <v>March</v>
      </c>
      <c r="E69" t="s">
        <v>186</v>
      </c>
      <c r="F69">
        <v>55</v>
      </c>
      <c r="G69" t="str">
        <f t="shared" si="3"/>
        <v>Senior</v>
      </c>
      <c r="H69" t="s">
        <v>42</v>
      </c>
      <c r="I69" t="s">
        <v>70</v>
      </c>
      <c r="J69" t="s">
        <v>24</v>
      </c>
      <c r="K69" t="s">
        <v>44</v>
      </c>
      <c r="L69" t="s">
        <v>121</v>
      </c>
      <c r="M69">
        <v>1</v>
      </c>
      <c r="N69">
        <v>11101</v>
      </c>
      <c r="O69">
        <v>11101</v>
      </c>
      <c r="P69" t="s">
        <v>53</v>
      </c>
      <c r="Q69">
        <v>3</v>
      </c>
      <c r="R69">
        <v>5</v>
      </c>
      <c r="S69" t="s">
        <v>28</v>
      </c>
    </row>
    <row r="70" spans="1:19" x14ac:dyDescent="0.3">
      <c r="A70">
        <v>67</v>
      </c>
      <c r="B70" t="s">
        <v>198</v>
      </c>
      <c r="C70" s="6">
        <v>45358</v>
      </c>
      <c r="D70" s="2" t="str">
        <f t="shared" si="2"/>
        <v>March</v>
      </c>
      <c r="E70" t="s">
        <v>199</v>
      </c>
      <c r="F70">
        <v>52</v>
      </c>
      <c r="G70" t="str">
        <f t="shared" si="3"/>
        <v>Senior</v>
      </c>
      <c r="H70" t="s">
        <v>42</v>
      </c>
      <c r="I70" t="s">
        <v>70</v>
      </c>
      <c r="J70" t="s">
        <v>24</v>
      </c>
      <c r="K70" t="s">
        <v>33</v>
      </c>
      <c r="L70" t="s">
        <v>89</v>
      </c>
      <c r="M70">
        <v>2</v>
      </c>
      <c r="N70">
        <v>4843</v>
      </c>
      <c r="O70">
        <v>9686</v>
      </c>
      <c r="P70" t="s">
        <v>116</v>
      </c>
      <c r="Q70">
        <v>8</v>
      </c>
      <c r="R70">
        <v>5</v>
      </c>
      <c r="S70" t="s">
        <v>28</v>
      </c>
    </row>
    <row r="71" spans="1:19" x14ac:dyDescent="0.3">
      <c r="A71">
        <v>68</v>
      </c>
      <c r="B71" t="s">
        <v>200</v>
      </c>
      <c r="C71" s="6">
        <v>45359</v>
      </c>
      <c r="D71" s="2" t="str">
        <f t="shared" si="2"/>
        <v>March</v>
      </c>
      <c r="E71" t="s">
        <v>201</v>
      </c>
      <c r="F71">
        <v>37</v>
      </c>
      <c r="G71" t="str">
        <f t="shared" si="3"/>
        <v>Adult</v>
      </c>
      <c r="H71" t="s">
        <v>22</v>
      </c>
      <c r="I71" t="s">
        <v>120</v>
      </c>
      <c r="J71" t="s">
        <v>50</v>
      </c>
      <c r="K71" t="s">
        <v>33</v>
      </c>
      <c r="L71" t="s">
        <v>89</v>
      </c>
      <c r="M71">
        <v>5</v>
      </c>
      <c r="N71">
        <v>22569</v>
      </c>
      <c r="O71">
        <v>112845</v>
      </c>
      <c r="P71" t="s">
        <v>116</v>
      </c>
      <c r="Q71">
        <v>4</v>
      </c>
      <c r="R71">
        <v>2</v>
      </c>
      <c r="S71" t="s">
        <v>46</v>
      </c>
    </row>
    <row r="72" spans="1:19" x14ac:dyDescent="0.3">
      <c r="A72">
        <v>69</v>
      </c>
      <c r="B72" t="s">
        <v>202</v>
      </c>
      <c r="C72" s="6">
        <v>45360</v>
      </c>
      <c r="D72" s="2" t="str">
        <f t="shared" si="2"/>
        <v>March</v>
      </c>
      <c r="E72" t="s">
        <v>203</v>
      </c>
      <c r="F72">
        <v>33</v>
      </c>
      <c r="G72" t="str">
        <f t="shared" si="3"/>
        <v>Adult</v>
      </c>
      <c r="H72" t="s">
        <v>22</v>
      </c>
      <c r="I72" t="s">
        <v>120</v>
      </c>
      <c r="J72" t="s">
        <v>50</v>
      </c>
      <c r="K72" t="s">
        <v>38</v>
      </c>
      <c r="L72" t="s">
        <v>39</v>
      </c>
      <c r="M72">
        <v>1</v>
      </c>
      <c r="N72">
        <v>42118</v>
      </c>
      <c r="O72">
        <v>42118</v>
      </c>
      <c r="P72" t="s">
        <v>53</v>
      </c>
      <c r="Q72">
        <v>5</v>
      </c>
      <c r="R72">
        <v>5</v>
      </c>
      <c r="S72" t="s">
        <v>28</v>
      </c>
    </row>
    <row r="73" spans="1:19" x14ac:dyDescent="0.3">
      <c r="A73">
        <v>70</v>
      </c>
      <c r="B73" t="s">
        <v>204</v>
      </c>
      <c r="C73" s="6">
        <v>45361</v>
      </c>
      <c r="D73" s="2" t="str">
        <f t="shared" si="2"/>
        <v>March</v>
      </c>
      <c r="E73" t="s">
        <v>175</v>
      </c>
      <c r="F73">
        <v>50</v>
      </c>
      <c r="G73" t="str">
        <f t="shared" si="3"/>
        <v>Senior</v>
      </c>
      <c r="H73" t="s">
        <v>42</v>
      </c>
      <c r="I73" t="s">
        <v>64</v>
      </c>
      <c r="J73" t="s">
        <v>24</v>
      </c>
      <c r="K73" t="s">
        <v>25</v>
      </c>
      <c r="L73" t="s">
        <v>124</v>
      </c>
      <c r="M73">
        <v>10</v>
      </c>
      <c r="N73">
        <v>4653</v>
      </c>
      <c r="O73">
        <v>46530</v>
      </c>
      <c r="P73" t="s">
        <v>116</v>
      </c>
      <c r="Q73">
        <v>7</v>
      </c>
      <c r="R73">
        <v>1</v>
      </c>
      <c r="S73" t="s">
        <v>46</v>
      </c>
    </row>
    <row r="74" spans="1:19" x14ac:dyDescent="0.3">
      <c r="A74">
        <v>71</v>
      </c>
      <c r="B74" t="s">
        <v>205</v>
      </c>
      <c r="C74" s="6">
        <v>45362</v>
      </c>
      <c r="D74" s="2" t="str">
        <f t="shared" si="2"/>
        <v>March</v>
      </c>
      <c r="E74" t="s">
        <v>206</v>
      </c>
      <c r="F74">
        <v>51</v>
      </c>
      <c r="G74" t="str">
        <f t="shared" si="3"/>
        <v>Senior</v>
      </c>
      <c r="H74" t="s">
        <v>42</v>
      </c>
      <c r="I74" t="s">
        <v>31</v>
      </c>
      <c r="J74" t="s">
        <v>32</v>
      </c>
      <c r="K74" t="s">
        <v>25</v>
      </c>
      <c r="L74" t="s">
        <v>124</v>
      </c>
      <c r="M74">
        <v>10</v>
      </c>
      <c r="N74">
        <v>49524</v>
      </c>
      <c r="O74">
        <v>495240</v>
      </c>
      <c r="P74" t="s">
        <v>116</v>
      </c>
      <c r="Q74">
        <v>9</v>
      </c>
      <c r="R74">
        <v>3</v>
      </c>
      <c r="S74" t="s">
        <v>28</v>
      </c>
    </row>
    <row r="75" spans="1:19" x14ac:dyDescent="0.3">
      <c r="A75">
        <v>72</v>
      </c>
      <c r="B75" t="s">
        <v>207</v>
      </c>
      <c r="C75" s="6">
        <v>45363</v>
      </c>
      <c r="D75" s="2" t="str">
        <f t="shared" si="2"/>
        <v>March</v>
      </c>
      <c r="E75" t="s">
        <v>208</v>
      </c>
      <c r="F75">
        <v>18</v>
      </c>
      <c r="G75" t="str">
        <f t="shared" si="3"/>
        <v>Teenager</v>
      </c>
      <c r="H75" t="s">
        <v>42</v>
      </c>
      <c r="I75" t="s">
        <v>49</v>
      </c>
      <c r="J75" t="s">
        <v>32</v>
      </c>
      <c r="K75" t="s">
        <v>51</v>
      </c>
      <c r="L75" t="s">
        <v>52</v>
      </c>
      <c r="M75">
        <v>5</v>
      </c>
      <c r="N75">
        <v>1910</v>
      </c>
      <c r="O75">
        <v>9550</v>
      </c>
      <c r="P75" t="s">
        <v>61</v>
      </c>
      <c r="Q75">
        <v>2</v>
      </c>
      <c r="R75">
        <v>4</v>
      </c>
      <c r="S75" t="s">
        <v>46</v>
      </c>
    </row>
    <row r="76" spans="1:19" x14ac:dyDescent="0.3">
      <c r="A76">
        <v>73</v>
      </c>
      <c r="B76" t="s">
        <v>209</v>
      </c>
      <c r="C76" s="6">
        <v>45364</v>
      </c>
      <c r="D76" s="2" t="str">
        <f t="shared" si="2"/>
        <v>March</v>
      </c>
      <c r="E76" t="s">
        <v>201</v>
      </c>
      <c r="F76">
        <v>35</v>
      </c>
      <c r="G76" t="str">
        <f t="shared" si="3"/>
        <v>Adult</v>
      </c>
      <c r="H76" t="s">
        <v>42</v>
      </c>
      <c r="I76" t="s">
        <v>64</v>
      </c>
      <c r="J76" t="s">
        <v>65</v>
      </c>
      <c r="K76" t="s">
        <v>25</v>
      </c>
      <c r="L76" t="s">
        <v>26</v>
      </c>
      <c r="M76">
        <v>3</v>
      </c>
      <c r="N76">
        <v>48777</v>
      </c>
      <c r="O76">
        <v>146331</v>
      </c>
      <c r="P76" t="s">
        <v>27</v>
      </c>
      <c r="Q76">
        <v>9</v>
      </c>
      <c r="R76">
        <v>4</v>
      </c>
      <c r="S76" t="s">
        <v>46</v>
      </c>
    </row>
    <row r="77" spans="1:19" x14ac:dyDescent="0.3">
      <c r="A77">
        <v>74</v>
      </c>
      <c r="B77" t="s">
        <v>210</v>
      </c>
      <c r="C77" s="6">
        <v>45365</v>
      </c>
      <c r="D77" s="2" t="str">
        <f t="shared" si="2"/>
        <v>March</v>
      </c>
      <c r="E77" t="s">
        <v>211</v>
      </c>
      <c r="F77">
        <v>56</v>
      </c>
      <c r="G77" t="str">
        <f t="shared" si="3"/>
        <v>Senior</v>
      </c>
      <c r="H77" t="s">
        <v>42</v>
      </c>
      <c r="I77" t="s">
        <v>37</v>
      </c>
      <c r="J77" t="s">
        <v>32</v>
      </c>
      <c r="K77" t="s">
        <v>44</v>
      </c>
      <c r="L77" t="s">
        <v>45</v>
      </c>
      <c r="M77">
        <v>4</v>
      </c>
      <c r="N77">
        <v>31617</v>
      </c>
      <c r="O77">
        <v>126468</v>
      </c>
      <c r="P77" t="s">
        <v>116</v>
      </c>
      <c r="Q77">
        <v>6</v>
      </c>
      <c r="R77">
        <v>3</v>
      </c>
      <c r="S77" t="s">
        <v>46</v>
      </c>
    </row>
    <row r="78" spans="1:19" x14ac:dyDescent="0.3">
      <c r="A78">
        <v>75</v>
      </c>
      <c r="B78" t="s">
        <v>212</v>
      </c>
      <c r="C78" s="6">
        <v>45366</v>
      </c>
      <c r="D78" s="2" t="str">
        <f t="shared" si="2"/>
        <v>March</v>
      </c>
      <c r="E78" t="s">
        <v>213</v>
      </c>
      <c r="F78">
        <v>45</v>
      </c>
      <c r="G78" t="str">
        <f t="shared" si="3"/>
        <v>Adult</v>
      </c>
      <c r="H78" t="s">
        <v>42</v>
      </c>
      <c r="I78" t="s">
        <v>23</v>
      </c>
      <c r="J78" t="s">
        <v>50</v>
      </c>
      <c r="K78" t="s">
        <v>25</v>
      </c>
      <c r="L78" t="s">
        <v>124</v>
      </c>
      <c r="M78">
        <v>1</v>
      </c>
      <c r="N78">
        <v>13762</v>
      </c>
      <c r="O78">
        <v>13762</v>
      </c>
      <c r="P78" t="s">
        <v>116</v>
      </c>
      <c r="Q78">
        <v>5</v>
      </c>
      <c r="R78">
        <v>1</v>
      </c>
      <c r="S78" t="s">
        <v>28</v>
      </c>
    </row>
    <row r="79" spans="1:19" x14ac:dyDescent="0.3">
      <c r="A79">
        <v>76</v>
      </c>
      <c r="B79" t="s">
        <v>214</v>
      </c>
      <c r="C79" s="6">
        <v>45367</v>
      </c>
      <c r="D79" s="2" t="str">
        <f t="shared" si="2"/>
        <v>March</v>
      </c>
      <c r="E79" t="s">
        <v>215</v>
      </c>
      <c r="F79">
        <v>21</v>
      </c>
      <c r="G79" t="str">
        <f t="shared" si="3"/>
        <v>Teenager</v>
      </c>
      <c r="H79" t="s">
        <v>42</v>
      </c>
      <c r="I79" t="s">
        <v>70</v>
      </c>
      <c r="J79" t="s">
        <v>24</v>
      </c>
      <c r="K79" t="s">
        <v>33</v>
      </c>
      <c r="L79" t="s">
        <v>160</v>
      </c>
      <c r="M79">
        <v>3</v>
      </c>
      <c r="N79">
        <v>46465</v>
      </c>
      <c r="O79">
        <v>139395</v>
      </c>
      <c r="P79" t="s">
        <v>27</v>
      </c>
      <c r="Q79">
        <v>7</v>
      </c>
      <c r="R79">
        <v>1</v>
      </c>
      <c r="S79" t="s">
        <v>28</v>
      </c>
    </row>
    <row r="80" spans="1:19" x14ac:dyDescent="0.3">
      <c r="A80">
        <v>77</v>
      </c>
      <c r="B80" t="s">
        <v>216</v>
      </c>
      <c r="C80" s="6">
        <v>45368</v>
      </c>
      <c r="D80" s="2" t="str">
        <f t="shared" si="2"/>
        <v>March</v>
      </c>
      <c r="E80" t="s">
        <v>217</v>
      </c>
      <c r="F80">
        <v>24</v>
      </c>
      <c r="G80" t="str">
        <f t="shared" si="3"/>
        <v>Teenager</v>
      </c>
      <c r="H80" t="s">
        <v>22</v>
      </c>
      <c r="I80" t="s">
        <v>43</v>
      </c>
      <c r="J80" t="s">
        <v>50</v>
      </c>
      <c r="K80" t="s">
        <v>44</v>
      </c>
      <c r="L80" t="s">
        <v>45</v>
      </c>
      <c r="M80">
        <v>9</v>
      </c>
      <c r="N80">
        <v>19256</v>
      </c>
      <c r="O80">
        <v>173304</v>
      </c>
      <c r="P80" t="s">
        <v>99</v>
      </c>
      <c r="Q80">
        <v>8</v>
      </c>
      <c r="R80">
        <v>4</v>
      </c>
      <c r="S80" t="s">
        <v>28</v>
      </c>
    </row>
    <row r="81" spans="1:19" x14ac:dyDescent="0.3">
      <c r="A81">
        <v>78</v>
      </c>
      <c r="B81" t="s">
        <v>218</v>
      </c>
      <c r="C81" s="6">
        <v>45369</v>
      </c>
      <c r="D81" s="2" t="str">
        <f t="shared" si="2"/>
        <v>March</v>
      </c>
      <c r="E81" t="s">
        <v>219</v>
      </c>
      <c r="F81">
        <v>50</v>
      </c>
      <c r="G81" t="str">
        <f t="shared" si="3"/>
        <v>Senior</v>
      </c>
      <c r="H81" t="s">
        <v>22</v>
      </c>
      <c r="I81" t="s">
        <v>102</v>
      </c>
      <c r="J81" t="s">
        <v>24</v>
      </c>
      <c r="K81" t="s">
        <v>33</v>
      </c>
      <c r="L81" t="s">
        <v>89</v>
      </c>
      <c r="M81">
        <v>2</v>
      </c>
      <c r="N81">
        <v>11172</v>
      </c>
      <c r="O81">
        <v>22344</v>
      </c>
      <c r="P81" t="s">
        <v>61</v>
      </c>
      <c r="Q81">
        <v>7</v>
      </c>
      <c r="R81">
        <v>5</v>
      </c>
      <c r="S81" t="s">
        <v>28</v>
      </c>
    </row>
    <row r="82" spans="1:19" x14ac:dyDescent="0.3">
      <c r="A82">
        <v>79</v>
      </c>
      <c r="B82" t="s">
        <v>220</v>
      </c>
      <c r="C82" s="6">
        <v>45370</v>
      </c>
      <c r="D82" s="2" t="str">
        <f t="shared" si="2"/>
        <v>March</v>
      </c>
      <c r="E82" t="s">
        <v>221</v>
      </c>
      <c r="F82">
        <v>18</v>
      </c>
      <c r="G82" t="str">
        <f t="shared" si="3"/>
        <v>Teenager</v>
      </c>
      <c r="H82" t="s">
        <v>42</v>
      </c>
      <c r="I82" t="s">
        <v>49</v>
      </c>
      <c r="J82" t="s">
        <v>50</v>
      </c>
      <c r="K82" t="s">
        <v>33</v>
      </c>
      <c r="L82" t="s">
        <v>34</v>
      </c>
      <c r="M82">
        <v>2</v>
      </c>
      <c r="N82">
        <v>8663</v>
      </c>
      <c r="O82">
        <v>17326</v>
      </c>
      <c r="P82" t="s">
        <v>61</v>
      </c>
      <c r="Q82">
        <v>7</v>
      </c>
      <c r="R82">
        <v>4</v>
      </c>
      <c r="S82" t="s">
        <v>46</v>
      </c>
    </row>
    <row r="83" spans="1:19" x14ac:dyDescent="0.3">
      <c r="A83">
        <v>80</v>
      </c>
      <c r="B83" t="s">
        <v>222</v>
      </c>
      <c r="C83" s="6">
        <v>45371</v>
      </c>
      <c r="D83" s="2" t="str">
        <f t="shared" si="2"/>
        <v>March</v>
      </c>
      <c r="E83" t="s">
        <v>223</v>
      </c>
      <c r="F83">
        <v>48</v>
      </c>
      <c r="G83" t="str">
        <f t="shared" si="3"/>
        <v>Adult</v>
      </c>
      <c r="H83" t="s">
        <v>42</v>
      </c>
      <c r="I83" t="s">
        <v>64</v>
      </c>
      <c r="J83" t="s">
        <v>24</v>
      </c>
      <c r="K83" t="s">
        <v>44</v>
      </c>
      <c r="L83" t="s">
        <v>224</v>
      </c>
      <c r="M83">
        <v>10</v>
      </c>
      <c r="N83">
        <v>28630</v>
      </c>
      <c r="O83">
        <v>286300</v>
      </c>
      <c r="P83" t="s">
        <v>116</v>
      </c>
      <c r="Q83">
        <v>7</v>
      </c>
      <c r="R83">
        <v>2</v>
      </c>
      <c r="S83" t="s">
        <v>46</v>
      </c>
    </row>
    <row r="84" spans="1:19" x14ac:dyDescent="0.3">
      <c r="A84">
        <v>81</v>
      </c>
      <c r="B84" t="s">
        <v>225</v>
      </c>
      <c r="C84" s="6">
        <v>45372</v>
      </c>
      <c r="D84" s="2" t="str">
        <f t="shared" si="2"/>
        <v>March</v>
      </c>
      <c r="E84" t="s">
        <v>213</v>
      </c>
      <c r="F84">
        <v>57</v>
      </c>
      <c r="G84" t="str">
        <f t="shared" si="3"/>
        <v>Senior</v>
      </c>
      <c r="H84" t="s">
        <v>22</v>
      </c>
      <c r="I84" t="s">
        <v>49</v>
      </c>
      <c r="J84" t="s">
        <v>65</v>
      </c>
      <c r="K84" t="s">
        <v>51</v>
      </c>
      <c r="L84" t="s">
        <v>74</v>
      </c>
      <c r="M84">
        <v>1</v>
      </c>
      <c r="N84">
        <v>766</v>
      </c>
      <c r="O84">
        <v>766</v>
      </c>
      <c r="P84" t="s">
        <v>116</v>
      </c>
      <c r="Q84">
        <v>7</v>
      </c>
      <c r="R84">
        <v>3</v>
      </c>
      <c r="S84" t="s">
        <v>46</v>
      </c>
    </row>
    <row r="85" spans="1:19" x14ac:dyDescent="0.3">
      <c r="A85">
        <v>82</v>
      </c>
      <c r="B85" t="s">
        <v>226</v>
      </c>
      <c r="C85" s="6">
        <v>45373</v>
      </c>
      <c r="D85" s="2" t="str">
        <f t="shared" si="2"/>
        <v>March</v>
      </c>
      <c r="E85" t="s">
        <v>227</v>
      </c>
      <c r="F85">
        <v>52</v>
      </c>
      <c r="G85" t="str">
        <f t="shared" si="3"/>
        <v>Senior</v>
      </c>
      <c r="H85" t="s">
        <v>42</v>
      </c>
      <c r="I85" t="s">
        <v>49</v>
      </c>
      <c r="J85" t="s">
        <v>50</v>
      </c>
      <c r="K85" t="s">
        <v>38</v>
      </c>
      <c r="L85" t="s">
        <v>81</v>
      </c>
      <c r="M85">
        <v>9</v>
      </c>
      <c r="N85">
        <v>14900</v>
      </c>
      <c r="O85">
        <v>134100</v>
      </c>
      <c r="P85" t="s">
        <v>61</v>
      </c>
      <c r="Q85">
        <v>7</v>
      </c>
      <c r="R85">
        <v>2</v>
      </c>
      <c r="S85" t="s">
        <v>28</v>
      </c>
    </row>
    <row r="86" spans="1:19" x14ac:dyDescent="0.3">
      <c r="A86">
        <v>83</v>
      </c>
      <c r="B86" t="s">
        <v>228</v>
      </c>
      <c r="C86" s="6">
        <v>45374</v>
      </c>
      <c r="D86" s="2" t="str">
        <f t="shared" si="2"/>
        <v>March</v>
      </c>
      <c r="E86" t="s">
        <v>229</v>
      </c>
      <c r="F86">
        <v>19</v>
      </c>
      <c r="G86" t="str">
        <f t="shared" si="3"/>
        <v>Teenager</v>
      </c>
      <c r="H86" t="s">
        <v>22</v>
      </c>
      <c r="I86" t="s">
        <v>31</v>
      </c>
      <c r="J86" t="s">
        <v>24</v>
      </c>
      <c r="K86" t="s">
        <v>44</v>
      </c>
      <c r="L86" t="s">
        <v>121</v>
      </c>
      <c r="M86">
        <v>6</v>
      </c>
      <c r="N86">
        <v>7354</v>
      </c>
      <c r="O86">
        <v>44124</v>
      </c>
      <c r="P86" t="s">
        <v>99</v>
      </c>
      <c r="Q86">
        <v>9</v>
      </c>
      <c r="R86">
        <v>4</v>
      </c>
      <c r="S86" t="s">
        <v>46</v>
      </c>
    </row>
    <row r="87" spans="1:19" x14ac:dyDescent="0.3">
      <c r="A87">
        <v>84</v>
      </c>
      <c r="B87" t="s">
        <v>230</v>
      </c>
      <c r="C87" s="6">
        <v>45375</v>
      </c>
      <c r="D87" s="2" t="str">
        <f t="shared" si="2"/>
        <v>March</v>
      </c>
      <c r="E87" t="s">
        <v>231</v>
      </c>
      <c r="F87">
        <v>53</v>
      </c>
      <c r="G87" t="str">
        <f t="shared" si="3"/>
        <v>Senior</v>
      </c>
      <c r="H87" t="s">
        <v>22</v>
      </c>
      <c r="I87" t="s">
        <v>23</v>
      </c>
      <c r="J87" t="s">
        <v>65</v>
      </c>
      <c r="K87" t="s">
        <v>44</v>
      </c>
      <c r="L87" t="s">
        <v>121</v>
      </c>
      <c r="M87">
        <v>6</v>
      </c>
      <c r="N87">
        <v>5541</v>
      </c>
      <c r="O87">
        <v>33246</v>
      </c>
      <c r="P87" t="s">
        <v>61</v>
      </c>
      <c r="Q87">
        <v>3</v>
      </c>
      <c r="R87">
        <v>3</v>
      </c>
      <c r="S87" t="s">
        <v>28</v>
      </c>
    </row>
    <row r="88" spans="1:19" x14ac:dyDescent="0.3">
      <c r="A88">
        <v>85</v>
      </c>
      <c r="B88" t="s">
        <v>232</v>
      </c>
      <c r="C88" s="6">
        <v>45376</v>
      </c>
      <c r="D88" s="2" t="str">
        <f t="shared" si="2"/>
        <v>March</v>
      </c>
      <c r="E88" t="s">
        <v>233</v>
      </c>
      <c r="F88">
        <v>36</v>
      </c>
      <c r="G88" t="str">
        <f t="shared" si="3"/>
        <v>Adult</v>
      </c>
      <c r="H88" t="s">
        <v>42</v>
      </c>
      <c r="I88" t="s">
        <v>64</v>
      </c>
      <c r="J88" t="s">
        <v>32</v>
      </c>
      <c r="K88" t="s">
        <v>38</v>
      </c>
      <c r="L88" t="s">
        <v>135</v>
      </c>
      <c r="M88">
        <v>5</v>
      </c>
      <c r="N88">
        <v>33976</v>
      </c>
      <c r="O88">
        <v>169880</v>
      </c>
      <c r="P88" t="s">
        <v>27</v>
      </c>
      <c r="Q88">
        <v>9</v>
      </c>
      <c r="R88">
        <v>4</v>
      </c>
      <c r="S88" t="s">
        <v>28</v>
      </c>
    </row>
    <row r="89" spans="1:19" x14ac:dyDescent="0.3">
      <c r="A89">
        <v>86</v>
      </c>
      <c r="B89" t="s">
        <v>234</v>
      </c>
      <c r="C89" s="6">
        <v>45377</v>
      </c>
      <c r="D89" s="2" t="str">
        <f t="shared" si="2"/>
        <v>March</v>
      </c>
      <c r="E89" t="s">
        <v>235</v>
      </c>
      <c r="F89">
        <v>24</v>
      </c>
      <c r="G89" t="str">
        <f t="shared" si="3"/>
        <v>Teenager</v>
      </c>
      <c r="H89" t="s">
        <v>42</v>
      </c>
      <c r="I89" t="s">
        <v>120</v>
      </c>
      <c r="J89" t="s">
        <v>32</v>
      </c>
      <c r="K89" t="s">
        <v>44</v>
      </c>
      <c r="L89" t="s">
        <v>121</v>
      </c>
      <c r="M89">
        <v>3</v>
      </c>
      <c r="N89">
        <v>44148</v>
      </c>
      <c r="O89">
        <v>132444</v>
      </c>
      <c r="P89" t="s">
        <v>53</v>
      </c>
      <c r="Q89">
        <v>1</v>
      </c>
      <c r="R89">
        <v>1</v>
      </c>
      <c r="S89" t="s">
        <v>46</v>
      </c>
    </row>
    <row r="90" spans="1:19" x14ac:dyDescent="0.3">
      <c r="A90">
        <v>87</v>
      </c>
      <c r="B90" t="s">
        <v>236</v>
      </c>
      <c r="C90" s="6">
        <v>45378</v>
      </c>
      <c r="D90" s="2" t="str">
        <f t="shared" si="2"/>
        <v>March</v>
      </c>
      <c r="E90" t="s">
        <v>237</v>
      </c>
      <c r="F90">
        <v>30</v>
      </c>
      <c r="G90" t="str">
        <f t="shared" si="3"/>
        <v>Adult</v>
      </c>
      <c r="H90" t="s">
        <v>22</v>
      </c>
      <c r="I90" t="s">
        <v>37</v>
      </c>
      <c r="J90" t="s">
        <v>65</v>
      </c>
      <c r="K90" t="s">
        <v>44</v>
      </c>
      <c r="L90" t="s">
        <v>91</v>
      </c>
      <c r="M90">
        <v>5</v>
      </c>
      <c r="N90">
        <v>6310</v>
      </c>
      <c r="O90">
        <v>31550</v>
      </c>
      <c r="P90" t="s">
        <v>116</v>
      </c>
      <c r="Q90">
        <v>2</v>
      </c>
      <c r="R90">
        <v>5</v>
      </c>
      <c r="S90" t="s">
        <v>46</v>
      </c>
    </row>
    <row r="91" spans="1:19" x14ac:dyDescent="0.3">
      <c r="A91">
        <v>88</v>
      </c>
      <c r="B91" t="s">
        <v>238</v>
      </c>
      <c r="C91" s="6">
        <v>45379</v>
      </c>
      <c r="D91" s="2" t="str">
        <f t="shared" si="2"/>
        <v>March</v>
      </c>
      <c r="E91" t="s">
        <v>239</v>
      </c>
      <c r="F91">
        <v>52</v>
      </c>
      <c r="G91" t="str">
        <f t="shared" si="3"/>
        <v>Senior</v>
      </c>
      <c r="H91" t="s">
        <v>42</v>
      </c>
      <c r="I91" t="s">
        <v>102</v>
      </c>
      <c r="J91" t="s">
        <v>24</v>
      </c>
      <c r="K91" t="s">
        <v>25</v>
      </c>
      <c r="L91" t="s">
        <v>189</v>
      </c>
      <c r="M91">
        <v>3</v>
      </c>
      <c r="N91">
        <v>548</v>
      </c>
      <c r="O91">
        <v>1644</v>
      </c>
      <c r="P91" t="s">
        <v>61</v>
      </c>
      <c r="Q91">
        <v>8</v>
      </c>
      <c r="R91">
        <v>3</v>
      </c>
      <c r="S91" t="s">
        <v>46</v>
      </c>
    </row>
    <row r="92" spans="1:19" x14ac:dyDescent="0.3">
      <c r="A92">
        <v>89</v>
      </c>
      <c r="B92" t="s">
        <v>240</v>
      </c>
      <c r="C92" s="6">
        <v>45380</v>
      </c>
      <c r="D92" s="2" t="str">
        <f t="shared" si="2"/>
        <v>March</v>
      </c>
      <c r="E92" t="s">
        <v>241</v>
      </c>
      <c r="F92">
        <v>39</v>
      </c>
      <c r="G92" t="str">
        <f t="shared" si="3"/>
        <v>Adult</v>
      </c>
      <c r="H92" t="s">
        <v>22</v>
      </c>
      <c r="I92" t="s">
        <v>64</v>
      </c>
      <c r="J92" t="s">
        <v>65</v>
      </c>
      <c r="K92" t="s">
        <v>51</v>
      </c>
      <c r="L92" t="s">
        <v>111</v>
      </c>
      <c r="M92">
        <v>10</v>
      </c>
      <c r="N92">
        <v>1401</v>
      </c>
      <c r="O92">
        <v>14010</v>
      </c>
      <c r="P92" t="s">
        <v>27</v>
      </c>
      <c r="Q92">
        <v>3</v>
      </c>
      <c r="R92">
        <v>4</v>
      </c>
      <c r="S92" t="s">
        <v>28</v>
      </c>
    </row>
    <row r="93" spans="1:19" x14ac:dyDescent="0.3">
      <c r="A93">
        <v>90</v>
      </c>
      <c r="B93" t="s">
        <v>242</v>
      </c>
      <c r="C93" s="6">
        <v>45381</v>
      </c>
      <c r="D93" s="2" t="str">
        <f t="shared" si="2"/>
        <v>March</v>
      </c>
      <c r="E93" t="s">
        <v>243</v>
      </c>
      <c r="F93">
        <v>46</v>
      </c>
      <c r="G93" t="str">
        <f t="shared" si="3"/>
        <v>Adult</v>
      </c>
      <c r="H93" t="s">
        <v>22</v>
      </c>
      <c r="I93" t="s">
        <v>23</v>
      </c>
      <c r="J93" t="s">
        <v>65</v>
      </c>
      <c r="K93" t="s">
        <v>33</v>
      </c>
      <c r="L93" t="s">
        <v>153</v>
      </c>
      <c r="M93">
        <v>9</v>
      </c>
      <c r="N93">
        <v>25040</v>
      </c>
      <c r="O93">
        <v>225360</v>
      </c>
      <c r="P93" t="s">
        <v>116</v>
      </c>
      <c r="Q93">
        <v>1</v>
      </c>
      <c r="R93">
        <v>5</v>
      </c>
      <c r="S93" t="s">
        <v>28</v>
      </c>
    </row>
    <row r="94" spans="1:19" x14ac:dyDescent="0.3">
      <c r="A94">
        <v>91</v>
      </c>
      <c r="B94" t="s">
        <v>244</v>
      </c>
      <c r="C94" s="6">
        <v>45382</v>
      </c>
      <c r="D94" s="2" t="str">
        <f t="shared" si="2"/>
        <v>March</v>
      </c>
      <c r="E94" t="s">
        <v>139</v>
      </c>
      <c r="F94">
        <v>46</v>
      </c>
      <c r="G94" t="str">
        <f t="shared" si="3"/>
        <v>Adult</v>
      </c>
      <c r="H94" t="s">
        <v>22</v>
      </c>
      <c r="I94" t="s">
        <v>120</v>
      </c>
      <c r="J94" t="s">
        <v>24</v>
      </c>
      <c r="K94" t="s">
        <v>25</v>
      </c>
      <c r="L94" t="s">
        <v>124</v>
      </c>
      <c r="M94">
        <v>7</v>
      </c>
      <c r="N94">
        <v>24657</v>
      </c>
      <c r="O94">
        <v>172599</v>
      </c>
      <c r="P94" t="s">
        <v>53</v>
      </c>
      <c r="Q94">
        <v>9</v>
      </c>
      <c r="R94">
        <v>3</v>
      </c>
      <c r="S94" t="s">
        <v>46</v>
      </c>
    </row>
    <row r="95" spans="1:19" x14ac:dyDescent="0.3">
      <c r="A95">
        <v>92</v>
      </c>
      <c r="B95" t="s">
        <v>245</v>
      </c>
      <c r="C95" s="6">
        <v>45383</v>
      </c>
      <c r="D95" s="2" t="str">
        <f t="shared" si="2"/>
        <v>April</v>
      </c>
      <c r="E95" t="s">
        <v>246</v>
      </c>
      <c r="F95">
        <v>39</v>
      </c>
      <c r="G95" t="str">
        <f t="shared" si="3"/>
        <v>Adult</v>
      </c>
      <c r="H95" t="s">
        <v>22</v>
      </c>
      <c r="I95" t="s">
        <v>64</v>
      </c>
      <c r="J95" t="s">
        <v>32</v>
      </c>
      <c r="K95" t="s">
        <v>38</v>
      </c>
      <c r="L95" t="s">
        <v>71</v>
      </c>
      <c r="M95">
        <v>1</v>
      </c>
      <c r="N95">
        <v>7142</v>
      </c>
      <c r="O95">
        <v>7142</v>
      </c>
      <c r="P95" t="s">
        <v>27</v>
      </c>
      <c r="Q95">
        <v>1</v>
      </c>
      <c r="R95">
        <v>1</v>
      </c>
      <c r="S95" t="s">
        <v>28</v>
      </c>
    </row>
    <row r="96" spans="1:19" x14ac:dyDescent="0.3">
      <c r="A96">
        <v>93</v>
      </c>
      <c r="B96" t="s">
        <v>247</v>
      </c>
      <c r="C96" s="6">
        <v>45384</v>
      </c>
      <c r="D96" s="2" t="str">
        <f t="shared" si="2"/>
        <v>April</v>
      </c>
      <c r="E96" t="s">
        <v>248</v>
      </c>
      <c r="F96">
        <v>49</v>
      </c>
      <c r="G96" t="str">
        <f t="shared" si="3"/>
        <v>Adult</v>
      </c>
      <c r="H96" t="s">
        <v>42</v>
      </c>
      <c r="I96" t="s">
        <v>80</v>
      </c>
      <c r="J96" t="s">
        <v>24</v>
      </c>
      <c r="K96" t="s">
        <v>25</v>
      </c>
      <c r="L96" t="s">
        <v>94</v>
      </c>
      <c r="M96">
        <v>1</v>
      </c>
      <c r="N96">
        <v>11488</v>
      </c>
      <c r="O96">
        <v>11488</v>
      </c>
      <c r="P96" t="s">
        <v>99</v>
      </c>
      <c r="Q96">
        <v>5</v>
      </c>
      <c r="R96">
        <v>1</v>
      </c>
      <c r="S96" t="s">
        <v>28</v>
      </c>
    </row>
    <row r="97" spans="1:19" x14ac:dyDescent="0.3">
      <c r="A97">
        <v>94</v>
      </c>
      <c r="B97" t="s">
        <v>249</v>
      </c>
      <c r="C97" s="6">
        <v>45385</v>
      </c>
      <c r="D97" s="2" t="str">
        <f t="shared" si="2"/>
        <v>April</v>
      </c>
      <c r="E97" t="s">
        <v>250</v>
      </c>
      <c r="F97">
        <v>47</v>
      </c>
      <c r="G97" t="str">
        <f t="shared" si="3"/>
        <v>Adult</v>
      </c>
      <c r="H97" t="s">
        <v>22</v>
      </c>
      <c r="I97" t="s">
        <v>37</v>
      </c>
      <c r="J97" t="s">
        <v>32</v>
      </c>
      <c r="K97" t="s">
        <v>38</v>
      </c>
      <c r="L97" t="s">
        <v>81</v>
      </c>
      <c r="M97">
        <v>2</v>
      </c>
      <c r="N97">
        <v>24964</v>
      </c>
      <c r="O97">
        <v>49928</v>
      </c>
      <c r="P97" t="s">
        <v>27</v>
      </c>
      <c r="Q97">
        <v>1</v>
      </c>
      <c r="R97">
        <v>1</v>
      </c>
      <c r="S97" t="s">
        <v>46</v>
      </c>
    </row>
    <row r="98" spans="1:19" x14ac:dyDescent="0.3">
      <c r="A98">
        <v>95</v>
      </c>
      <c r="B98" t="s">
        <v>251</v>
      </c>
      <c r="C98" s="6">
        <v>45386</v>
      </c>
      <c r="D98" s="2" t="str">
        <f t="shared" si="2"/>
        <v>April</v>
      </c>
      <c r="E98" t="s">
        <v>252</v>
      </c>
      <c r="F98">
        <v>44</v>
      </c>
      <c r="G98" t="str">
        <f t="shared" si="3"/>
        <v>Adult</v>
      </c>
      <c r="H98" t="s">
        <v>42</v>
      </c>
      <c r="I98" t="s">
        <v>102</v>
      </c>
      <c r="J98" t="s">
        <v>24</v>
      </c>
      <c r="K98" t="s">
        <v>25</v>
      </c>
      <c r="L98" t="s">
        <v>124</v>
      </c>
      <c r="M98">
        <v>4</v>
      </c>
      <c r="N98">
        <v>33343</v>
      </c>
      <c r="O98">
        <v>133372</v>
      </c>
      <c r="P98" t="s">
        <v>27</v>
      </c>
      <c r="Q98">
        <v>6</v>
      </c>
      <c r="R98">
        <v>1</v>
      </c>
      <c r="S98" t="s">
        <v>28</v>
      </c>
    </row>
    <row r="99" spans="1:19" x14ac:dyDescent="0.3">
      <c r="A99">
        <v>96</v>
      </c>
      <c r="B99" t="s">
        <v>253</v>
      </c>
      <c r="C99" s="6">
        <v>45387</v>
      </c>
      <c r="D99" s="2" t="str">
        <f t="shared" si="2"/>
        <v>April</v>
      </c>
      <c r="E99" t="s">
        <v>254</v>
      </c>
      <c r="F99">
        <v>45</v>
      </c>
      <c r="G99" t="str">
        <f t="shared" si="3"/>
        <v>Adult</v>
      </c>
      <c r="H99" t="s">
        <v>42</v>
      </c>
      <c r="I99" t="s">
        <v>102</v>
      </c>
      <c r="J99" t="s">
        <v>24</v>
      </c>
      <c r="K99" t="s">
        <v>38</v>
      </c>
      <c r="L99" t="s">
        <v>81</v>
      </c>
      <c r="M99">
        <v>10</v>
      </c>
      <c r="N99">
        <v>4084</v>
      </c>
      <c r="O99">
        <v>40840</v>
      </c>
      <c r="P99" t="s">
        <v>27</v>
      </c>
      <c r="Q99">
        <v>2</v>
      </c>
      <c r="R99">
        <v>3</v>
      </c>
      <c r="S99" t="s">
        <v>46</v>
      </c>
    </row>
    <row r="100" spans="1:19" x14ac:dyDescent="0.3">
      <c r="A100">
        <v>97</v>
      </c>
      <c r="B100" t="s">
        <v>255</v>
      </c>
      <c r="C100" s="6">
        <v>45388</v>
      </c>
      <c r="D100" s="2" t="str">
        <f t="shared" si="2"/>
        <v>April</v>
      </c>
      <c r="E100" t="s">
        <v>256</v>
      </c>
      <c r="F100">
        <v>24</v>
      </c>
      <c r="G100" t="str">
        <f t="shared" si="3"/>
        <v>Teenager</v>
      </c>
      <c r="H100" t="s">
        <v>42</v>
      </c>
      <c r="I100" t="s">
        <v>23</v>
      </c>
      <c r="J100" t="s">
        <v>32</v>
      </c>
      <c r="K100" t="s">
        <v>51</v>
      </c>
      <c r="L100" t="s">
        <v>111</v>
      </c>
      <c r="M100">
        <v>2</v>
      </c>
      <c r="N100">
        <v>309</v>
      </c>
      <c r="O100">
        <v>618</v>
      </c>
      <c r="P100" t="s">
        <v>61</v>
      </c>
      <c r="Q100">
        <v>10</v>
      </c>
      <c r="R100">
        <v>4</v>
      </c>
      <c r="S100" t="s">
        <v>28</v>
      </c>
    </row>
    <row r="101" spans="1:19" x14ac:dyDescent="0.3">
      <c r="A101">
        <v>98</v>
      </c>
      <c r="B101" t="s">
        <v>257</v>
      </c>
      <c r="C101" s="6">
        <v>45389</v>
      </c>
      <c r="D101" s="2" t="str">
        <f t="shared" si="2"/>
        <v>April</v>
      </c>
      <c r="E101" t="s">
        <v>88</v>
      </c>
      <c r="F101">
        <v>37</v>
      </c>
      <c r="G101" t="str">
        <f t="shared" si="3"/>
        <v>Adult</v>
      </c>
      <c r="H101" t="s">
        <v>22</v>
      </c>
      <c r="I101" t="s">
        <v>120</v>
      </c>
      <c r="J101" t="s">
        <v>50</v>
      </c>
      <c r="K101" t="s">
        <v>25</v>
      </c>
      <c r="L101" t="s">
        <v>77</v>
      </c>
      <c r="M101">
        <v>6</v>
      </c>
      <c r="N101">
        <v>29503</v>
      </c>
      <c r="O101">
        <v>177018</v>
      </c>
      <c r="P101" t="s">
        <v>99</v>
      </c>
      <c r="Q101">
        <v>6</v>
      </c>
      <c r="R101">
        <v>5</v>
      </c>
      <c r="S101" t="s">
        <v>28</v>
      </c>
    </row>
    <row r="102" spans="1:19" x14ac:dyDescent="0.3">
      <c r="A102">
        <v>99</v>
      </c>
      <c r="B102" t="s">
        <v>258</v>
      </c>
      <c r="C102" s="6">
        <v>45390</v>
      </c>
      <c r="D102" s="2" t="str">
        <f t="shared" si="2"/>
        <v>April</v>
      </c>
      <c r="E102" t="s">
        <v>67</v>
      </c>
      <c r="F102">
        <v>58</v>
      </c>
      <c r="G102" t="str">
        <f t="shared" si="3"/>
        <v>Senior</v>
      </c>
      <c r="H102" t="s">
        <v>22</v>
      </c>
      <c r="I102" t="s">
        <v>70</v>
      </c>
      <c r="J102" t="s">
        <v>65</v>
      </c>
      <c r="K102" t="s">
        <v>44</v>
      </c>
      <c r="L102" t="s">
        <v>45</v>
      </c>
      <c r="M102">
        <v>2</v>
      </c>
      <c r="N102">
        <v>33136</v>
      </c>
      <c r="O102">
        <v>66272</v>
      </c>
      <c r="P102" t="s">
        <v>116</v>
      </c>
      <c r="Q102">
        <v>10</v>
      </c>
      <c r="R102">
        <v>5</v>
      </c>
      <c r="S102" t="s">
        <v>46</v>
      </c>
    </row>
    <row r="103" spans="1:19" x14ac:dyDescent="0.3">
      <c r="A103">
        <v>100</v>
      </c>
      <c r="B103" t="s">
        <v>259</v>
      </c>
      <c r="C103" s="6">
        <v>45391</v>
      </c>
      <c r="D103" s="2" t="str">
        <f t="shared" si="2"/>
        <v>April</v>
      </c>
      <c r="E103" t="s">
        <v>260</v>
      </c>
      <c r="F103">
        <v>36</v>
      </c>
      <c r="G103" t="str">
        <f t="shared" si="3"/>
        <v>Adult</v>
      </c>
      <c r="H103" t="s">
        <v>42</v>
      </c>
      <c r="I103" t="s">
        <v>37</v>
      </c>
      <c r="J103" t="s">
        <v>32</v>
      </c>
      <c r="K103" t="s">
        <v>51</v>
      </c>
      <c r="L103" t="s">
        <v>74</v>
      </c>
      <c r="M103">
        <v>3</v>
      </c>
      <c r="N103">
        <v>1066</v>
      </c>
      <c r="O103">
        <v>3198</v>
      </c>
      <c r="P103" t="s">
        <v>116</v>
      </c>
      <c r="Q103">
        <v>4</v>
      </c>
      <c r="R103">
        <v>5</v>
      </c>
      <c r="S103" t="s">
        <v>46</v>
      </c>
    </row>
    <row r="104" spans="1:19" x14ac:dyDescent="0.3">
      <c r="A104">
        <v>101</v>
      </c>
      <c r="B104" t="s">
        <v>261</v>
      </c>
      <c r="C104" s="6">
        <v>45392</v>
      </c>
      <c r="D104" s="2" t="str">
        <f t="shared" si="2"/>
        <v>April</v>
      </c>
      <c r="E104" t="s">
        <v>262</v>
      </c>
      <c r="F104">
        <v>53</v>
      </c>
      <c r="G104" t="str">
        <f t="shared" si="3"/>
        <v>Senior</v>
      </c>
      <c r="H104" t="s">
        <v>22</v>
      </c>
      <c r="I104" t="s">
        <v>120</v>
      </c>
      <c r="J104" t="s">
        <v>32</v>
      </c>
      <c r="K104" t="s">
        <v>44</v>
      </c>
      <c r="L104" t="s">
        <v>91</v>
      </c>
      <c r="M104">
        <v>8</v>
      </c>
      <c r="N104">
        <v>29214</v>
      </c>
      <c r="O104">
        <v>233712</v>
      </c>
      <c r="P104" t="s">
        <v>53</v>
      </c>
      <c r="Q104">
        <v>10</v>
      </c>
      <c r="R104">
        <v>4</v>
      </c>
      <c r="S104" t="s">
        <v>28</v>
      </c>
    </row>
    <row r="105" spans="1:19" x14ac:dyDescent="0.3">
      <c r="A105">
        <v>102</v>
      </c>
      <c r="B105" t="s">
        <v>263</v>
      </c>
      <c r="C105" s="6">
        <v>45393</v>
      </c>
      <c r="D105" s="2" t="str">
        <f t="shared" si="2"/>
        <v>April</v>
      </c>
      <c r="E105" t="s">
        <v>201</v>
      </c>
      <c r="F105">
        <v>24</v>
      </c>
      <c r="G105" t="str">
        <f t="shared" si="3"/>
        <v>Teenager</v>
      </c>
      <c r="H105" t="s">
        <v>22</v>
      </c>
      <c r="I105" t="s">
        <v>70</v>
      </c>
      <c r="J105" t="s">
        <v>24</v>
      </c>
      <c r="K105" t="s">
        <v>44</v>
      </c>
      <c r="L105" t="s">
        <v>45</v>
      </c>
      <c r="M105">
        <v>9</v>
      </c>
      <c r="N105">
        <v>21803</v>
      </c>
      <c r="O105">
        <v>196227</v>
      </c>
      <c r="P105" t="s">
        <v>99</v>
      </c>
      <c r="Q105">
        <v>7</v>
      </c>
      <c r="R105">
        <v>3</v>
      </c>
      <c r="S105" t="s">
        <v>28</v>
      </c>
    </row>
    <row r="106" spans="1:19" x14ac:dyDescent="0.3">
      <c r="A106">
        <v>103</v>
      </c>
      <c r="B106" t="s">
        <v>264</v>
      </c>
      <c r="C106" s="6">
        <v>45394</v>
      </c>
      <c r="D106" s="2" t="str">
        <f t="shared" si="2"/>
        <v>April</v>
      </c>
      <c r="E106" t="s">
        <v>265</v>
      </c>
      <c r="F106">
        <v>21</v>
      </c>
      <c r="G106" t="str">
        <f t="shared" si="3"/>
        <v>Teenager</v>
      </c>
      <c r="H106" t="s">
        <v>22</v>
      </c>
      <c r="I106" t="s">
        <v>23</v>
      </c>
      <c r="J106" t="s">
        <v>32</v>
      </c>
      <c r="K106" t="s">
        <v>33</v>
      </c>
      <c r="L106" t="s">
        <v>153</v>
      </c>
      <c r="M106">
        <v>2</v>
      </c>
      <c r="N106">
        <v>271</v>
      </c>
      <c r="O106">
        <v>542</v>
      </c>
      <c r="P106" t="s">
        <v>116</v>
      </c>
      <c r="Q106">
        <v>8</v>
      </c>
      <c r="R106">
        <v>1</v>
      </c>
      <c r="S106" t="s">
        <v>46</v>
      </c>
    </row>
    <row r="107" spans="1:19" x14ac:dyDescent="0.3">
      <c r="A107">
        <v>104</v>
      </c>
      <c r="B107" t="s">
        <v>266</v>
      </c>
      <c r="C107" s="6">
        <v>45395</v>
      </c>
      <c r="D107" s="2" t="str">
        <f t="shared" si="2"/>
        <v>April</v>
      </c>
      <c r="E107" t="s">
        <v>139</v>
      </c>
      <c r="F107">
        <v>45</v>
      </c>
      <c r="G107" t="str">
        <f t="shared" si="3"/>
        <v>Adult</v>
      </c>
      <c r="H107" t="s">
        <v>42</v>
      </c>
      <c r="I107" t="s">
        <v>70</v>
      </c>
      <c r="J107" t="s">
        <v>50</v>
      </c>
      <c r="K107" t="s">
        <v>44</v>
      </c>
      <c r="L107" t="s">
        <v>121</v>
      </c>
      <c r="M107">
        <v>8</v>
      </c>
      <c r="N107">
        <v>26107</v>
      </c>
      <c r="O107">
        <v>208856</v>
      </c>
      <c r="P107" t="s">
        <v>61</v>
      </c>
      <c r="Q107">
        <v>4</v>
      </c>
      <c r="R107">
        <v>5</v>
      </c>
      <c r="S107" t="s">
        <v>46</v>
      </c>
    </row>
    <row r="108" spans="1:19" x14ac:dyDescent="0.3">
      <c r="A108">
        <v>105</v>
      </c>
      <c r="B108" t="s">
        <v>267</v>
      </c>
      <c r="C108" s="6">
        <v>45396</v>
      </c>
      <c r="D108" s="2" t="str">
        <f t="shared" si="2"/>
        <v>April</v>
      </c>
      <c r="E108" t="s">
        <v>63</v>
      </c>
      <c r="F108">
        <v>29</v>
      </c>
      <c r="G108" t="str">
        <f t="shared" si="3"/>
        <v>Teenager</v>
      </c>
      <c r="H108" t="s">
        <v>22</v>
      </c>
      <c r="I108" t="s">
        <v>43</v>
      </c>
      <c r="J108" t="s">
        <v>32</v>
      </c>
      <c r="K108" t="s">
        <v>38</v>
      </c>
      <c r="L108" t="s">
        <v>39</v>
      </c>
      <c r="M108">
        <v>9</v>
      </c>
      <c r="N108">
        <v>42608</v>
      </c>
      <c r="O108">
        <v>383472</v>
      </c>
      <c r="P108" t="s">
        <v>61</v>
      </c>
      <c r="Q108">
        <v>4</v>
      </c>
      <c r="R108">
        <v>1</v>
      </c>
      <c r="S108" t="s">
        <v>28</v>
      </c>
    </row>
    <row r="109" spans="1:19" x14ac:dyDescent="0.3">
      <c r="A109">
        <v>106</v>
      </c>
      <c r="B109" t="s">
        <v>268</v>
      </c>
      <c r="C109" s="6">
        <v>45397</v>
      </c>
      <c r="D109" s="2" t="str">
        <f t="shared" si="2"/>
        <v>April</v>
      </c>
      <c r="E109" t="s">
        <v>269</v>
      </c>
      <c r="F109">
        <v>43</v>
      </c>
      <c r="G109" t="str">
        <f t="shared" si="3"/>
        <v>Adult</v>
      </c>
      <c r="H109" t="s">
        <v>42</v>
      </c>
      <c r="I109" t="s">
        <v>43</v>
      </c>
      <c r="J109" t="s">
        <v>24</v>
      </c>
      <c r="K109" t="s">
        <v>33</v>
      </c>
      <c r="L109" t="s">
        <v>153</v>
      </c>
      <c r="M109">
        <v>3</v>
      </c>
      <c r="N109">
        <v>37854</v>
      </c>
      <c r="O109">
        <v>113562</v>
      </c>
      <c r="P109" t="s">
        <v>99</v>
      </c>
      <c r="Q109">
        <v>9</v>
      </c>
      <c r="R109">
        <v>3</v>
      </c>
      <c r="S109" t="s">
        <v>28</v>
      </c>
    </row>
    <row r="110" spans="1:19" x14ac:dyDescent="0.3">
      <c r="A110">
        <v>107</v>
      </c>
      <c r="B110" t="s">
        <v>270</v>
      </c>
      <c r="C110" s="6">
        <v>45398</v>
      </c>
      <c r="D110" s="2" t="str">
        <f t="shared" si="2"/>
        <v>April</v>
      </c>
      <c r="E110" t="s">
        <v>271</v>
      </c>
      <c r="F110">
        <v>42</v>
      </c>
      <c r="G110" t="str">
        <f t="shared" si="3"/>
        <v>Adult</v>
      </c>
      <c r="H110" t="s">
        <v>22</v>
      </c>
      <c r="I110" t="s">
        <v>37</v>
      </c>
      <c r="J110" t="s">
        <v>32</v>
      </c>
      <c r="K110" t="s">
        <v>38</v>
      </c>
      <c r="L110" t="s">
        <v>71</v>
      </c>
      <c r="M110">
        <v>1</v>
      </c>
      <c r="N110">
        <v>19957</v>
      </c>
      <c r="O110">
        <v>19957</v>
      </c>
      <c r="P110" t="s">
        <v>61</v>
      </c>
      <c r="Q110">
        <v>7</v>
      </c>
      <c r="R110">
        <v>1</v>
      </c>
      <c r="S110" t="s">
        <v>46</v>
      </c>
    </row>
    <row r="111" spans="1:19" x14ac:dyDescent="0.3">
      <c r="A111">
        <v>108</v>
      </c>
      <c r="B111" t="s">
        <v>272</v>
      </c>
      <c r="C111" s="6">
        <v>45399</v>
      </c>
      <c r="D111" s="2" t="str">
        <f t="shared" si="2"/>
        <v>April</v>
      </c>
      <c r="E111" t="s">
        <v>273</v>
      </c>
      <c r="F111">
        <v>49</v>
      </c>
      <c r="G111" t="str">
        <f t="shared" si="3"/>
        <v>Adult</v>
      </c>
      <c r="H111" t="s">
        <v>42</v>
      </c>
      <c r="I111" t="s">
        <v>43</v>
      </c>
      <c r="J111" t="s">
        <v>32</v>
      </c>
      <c r="K111" t="s">
        <v>33</v>
      </c>
      <c r="L111" t="s">
        <v>173</v>
      </c>
      <c r="M111">
        <v>9</v>
      </c>
      <c r="N111">
        <v>45100</v>
      </c>
      <c r="O111">
        <v>405900</v>
      </c>
      <c r="P111" t="s">
        <v>61</v>
      </c>
      <c r="Q111">
        <v>2</v>
      </c>
      <c r="R111">
        <v>4</v>
      </c>
      <c r="S111" t="s">
        <v>46</v>
      </c>
    </row>
    <row r="112" spans="1:19" x14ac:dyDescent="0.3">
      <c r="A112">
        <v>109</v>
      </c>
      <c r="B112" t="s">
        <v>274</v>
      </c>
      <c r="C112" s="6">
        <v>45400</v>
      </c>
      <c r="D112" s="2" t="str">
        <f t="shared" si="2"/>
        <v>April</v>
      </c>
      <c r="E112" t="s">
        <v>250</v>
      </c>
      <c r="F112">
        <v>57</v>
      </c>
      <c r="G112" t="str">
        <f t="shared" si="3"/>
        <v>Senior</v>
      </c>
      <c r="H112" t="s">
        <v>42</v>
      </c>
      <c r="I112" t="s">
        <v>31</v>
      </c>
      <c r="J112" t="s">
        <v>32</v>
      </c>
      <c r="K112" t="s">
        <v>25</v>
      </c>
      <c r="L112" t="s">
        <v>26</v>
      </c>
      <c r="M112">
        <v>2</v>
      </c>
      <c r="N112">
        <v>17470</v>
      </c>
      <c r="O112">
        <v>34940</v>
      </c>
      <c r="P112" t="s">
        <v>116</v>
      </c>
      <c r="Q112">
        <v>7</v>
      </c>
      <c r="R112">
        <v>2</v>
      </c>
      <c r="S112" t="s">
        <v>28</v>
      </c>
    </row>
    <row r="113" spans="1:19" x14ac:dyDescent="0.3">
      <c r="A113">
        <v>110</v>
      </c>
      <c r="B113" t="s">
        <v>275</v>
      </c>
      <c r="C113" s="6">
        <v>45401</v>
      </c>
      <c r="D113" s="2" t="str">
        <f t="shared" si="2"/>
        <v>April</v>
      </c>
      <c r="E113" t="s">
        <v>170</v>
      </c>
      <c r="F113">
        <v>26</v>
      </c>
      <c r="G113" t="str">
        <f t="shared" si="3"/>
        <v>Teenager</v>
      </c>
      <c r="H113" t="s">
        <v>22</v>
      </c>
      <c r="I113" t="s">
        <v>120</v>
      </c>
      <c r="J113" t="s">
        <v>65</v>
      </c>
      <c r="K113" t="s">
        <v>51</v>
      </c>
      <c r="L113" t="s">
        <v>74</v>
      </c>
      <c r="M113">
        <v>1</v>
      </c>
      <c r="N113">
        <v>1737</v>
      </c>
      <c r="O113">
        <v>1737</v>
      </c>
      <c r="P113" t="s">
        <v>53</v>
      </c>
      <c r="Q113">
        <v>4</v>
      </c>
      <c r="R113">
        <v>3</v>
      </c>
      <c r="S113" t="s">
        <v>46</v>
      </c>
    </row>
    <row r="114" spans="1:19" x14ac:dyDescent="0.3">
      <c r="A114">
        <v>111</v>
      </c>
      <c r="B114" t="s">
        <v>276</v>
      </c>
      <c r="C114" s="6">
        <v>45402</v>
      </c>
      <c r="D114" s="2" t="str">
        <f t="shared" si="2"/>
        <v>April</v>
      </c>
      <c r="E114" t="s">
        <v>188</v>
      </c>
      <c r="F114">
        <v>35</v>
      </c>
      <c r="G114" t="str">
        <f t="shared" si="3"/>
        <v>Adult</v>
      </c>
      <c r="H114" t="s">
        <v>22</v>
      </c>
      <c r="I114" t="s">
        <v>102</v>
      </c>
      <c r="J114" t="s">
        <v>24</v>
      </c>
      <c r="K114" t="s">
        <v>51</v>
      </c>
      <c r="L114" t="s">
        <v>111</v>
      </c>
      <c r="M114">
        <v>5</v>
      </c>
      <c r="N114">
        <v>1006</v>
      </c>
      <c r="O114">
        <v>5030</v>
      </c>
      <c r="P114" t="s">
        <v>27</v>
      </c>
      <c r="Q114">
        <v>7</v>
      </c>
      <c r="R114">
        <v>5</v>
      </c>
      <c r="S114" t="s">
        <v>28</v>
      </c>
    </row>
    <row r="115" spans="1:19" x14ac:dyDescent="0.3">
      <c r="A115">
        <v>112</v>
      </c>
      <c r="B115" t="s">
        <v>277</v>
      </c>
      <c r="C115" s="6">
        <v>45403</v>
      </c>
      <c r="D115" s="2" t="str">
        <f t="shared" si="2"/>
        <v>April</v>
      </c>
      <c r="E115" t="s">
        <v>278</v>
      </c>
      <c r="F115">
        <v>20</v>
      </c>
      <c r="G115" t="str">
        <f t="shared" si="3"/>
        <v>Teenager</v>
      </c>
      <c r="H115" t="s">
        <v>22</v>
      </c>
      <c r="I115" t="s">
        <v>120</v>
      </c>
      <c r="J115" t="s">
        <v>32</v>
      </c>
      <c r="K115" t="s">
        <v>44</v>
      </c>
      <c r="L115" t="s">
        <v>91</v>
      </c>
      <c r="M115">
        <v>3</v>
      </c>
      <c r="N115">
        <v>41835</v>
      </c>
      <c r="O115">
        <v>125505</v>
      </c>
      <c r="P115" t="s">
        <v>99</v>
      </c>
      <c r="Q115">
        <v>5</v>
      </c>
      <c r="R115">
        <v>3</v>
      </c>
      <c r="S115" t="s">
        <v>28</v>
      </c>
    </row>
    <row r="116" spans="1:19" x14ac:dyDescent="0.3">
      <c r="A116">
        <v>113</v>
      </c>
      <c r="B116" t="s">
        <v>279</v>
      </c>
      <c r="C116" s="6">
        <v>45404</v>
      </c>
      <c r="D116" s="2" t="str">
        <f t="shared" si="2"/>
        <v>April</v>
      </c>
      <c r="E116" t="s">
        <v>280</v>
      </c>
      <c r="F116">
        <v>47</v>
      </c>
      <c r="G116" t="str">
        <f t="shared" si="3"/>
        <v>Adult</v>
      </c>
      <c r="H116" t="s">
        <v>42</v>
      </c>
      <c r="I116" t="s">
        <v>23</v>
      </c>
      <c r="J116" t="s">
        <v>32</v>
      </c>
      <c r="K116" t="s">
        <v>38</v>
      </c>
      <c r="L116" t="s">
        <v>39</v>
      </c>
      <c r="M116">
        <v>3</v>
      </c>
      <c r="N116">
        <v>46173</v>
      </c>
      <c r="O116">
        <v>138519</v>
      </c>
      <c r="P116" t="s">
        <v>99</v>
      </c>
      <c r="Q116">
        <v>3</v>
      </c>
      <c r="R116">
        <v>4</v>
      </c>
      <c r="S116" t="s">
        <v>28</v>
      </c>
    </row>
    <row r="117" spans="1:19" x14ac:dyDescent="0.3">
      <c r="A117">
        <v>114</v>
      </c>
      <c r="B117" t="s">
        <v>281</v>
      </c>
      <c r="C117" s="6">
        <v>45405</v>
      </c>
      <c r="D117" s="2" t="str">
        <f t="shared" si="2"/>
        <v>April</v>
      </c>
      <c r="E117" t="s">
        <v>282</v>
      </c>
      <c r="F117">
        <v>32</v>
      </c>
      <c r="G117" t="str">
        <f t="shared" si="3"/>
        <v>Adult</v>
      </c>
      <c r="H117" t="s">
        <v>22</v>
      </c>
      <c r="I117" t="s">
        <v>37</v>
      </c>
      <c r="J117" t="s">
        <v>24</v>
      </c>
      <c r="K117" t="s">
        <v>33</v>
      </c>
      <c r="L117" t="s">
        <v>173</v>
      </c>
      <c r="M117">
        <v>10</v>
      </c>
      <c r="N117">
        <v>43203</v>
      </c>
      <c r="O117">
        <v>432030</v>
      </c>
      <c r="P117" t="s">
        <v>61</v>
      </c>
      <c r="Q117">
        <v>5</v>
      </c>
      <c r="R117">
        <v>5</v>
      </c>
      <c r="S117" t="s">
        <v>46</v>
      </c>
    </row>
    <row r="118" spans="1:19" x14ac:dyDescent="0.3">
      <c r="A118">
        <v>115</v>
      </c>
      <c r="B118" t="s">
        <v>283</v>
      </c>
      <c r="C118" s="6">
        <v>45406</v>
      </c>
      <c r="D118" s="2" t="str">
        <f t="shared" si="2"/>
        <v>April</v>
      </c>
      <c r="E118" t="s">
        <v>284</v>
      </c>
      <c r="F118">
        <v>57</v>
      </c>
      <c r="G118" t="str">
        <f t="shared" si="3"/>
        <v>Senior</v>
      </c>
      <c r="H118" t="s">
        <v>22</v>
      </c>
      <c r="I118" t="s">
        <v>70</v>
      </c>
      <c r="J118" t="s">
        <v>65</v>
      </c>
      <c r="K118" t="s">
        <v>38</v>
      </c>
      <c r="L118" t="s">
        <v>135</v>
      </c>
      <c r="M118">
        <v>9</v>
      </c>
      <c r="N118">
        <v>3681</v>
      </c>
      <c r="O118">
        <v>33129</v>
      </c>
      <c r="P118" t="s">
        <v>99</v>
      </c>
      <c r="Q118">
        <v>9</v>
      </c>
      <c r="R118">
        <v>3</v>
      </c>
      <c r="S118" t="s">
        <v>46</v>
      </c>
    </row>
    <row r="119" spans="1:19" x14ac:dyDescent="0.3">
      <c r="A119">
        <v>116</v>
      </c>
      <c r="B119" t="s">
        <v>285</v>
      </c>
      <c r="C119" s="6">
        <v>45407</v>
      </c>
      <c r="D119" s="2" t="str">
        <f t="shared" si="2"/>
        <v>April</v>
      </c>
      <c r="E119" t="s">
        <v>286</v>
      </c>
      <c r="F119">
        <v>39</v>
      </c>
      <c r="G119" t="str">
        <f t="shared" si="3"/>
        <v>Adult</v>
      </c>
      <c r="H119" t="s">
        <v>42</v>
      </c>
      <c r="I119" t="s">
        <v>37</v>
      </c>
      <c r="J119" t="s">
        <v>65</v>
      </c>
      <c r="K119" t="s">
        <v>25</v>
      </c>
      <c r="L119" t="s">
        <v>26</v>
      </c>
      <c r="M119">
        <v>7</v>
      </c>
      <c r="N119">
        <v>38008</v>
      </c>
      <c r="O119">
        <v>266056</v>
      </c>
      <c r="P119" t="s">
        <v>99</v>
      </c>
      <c r="Q119">
        <v>5</v>
      </c>
      <c r="R119">
        <v>1</v>
      </c>
      <c r="S119" t="s">
        <v>46</v>
      </c>
    </row>
    <row r="120" spans="1:19" x14ac:dyDescent="0.3">
      <c r="A120">
        <v>117</v>
      </c>
      <c r="B120" t="s">
        <v>287</v>
      </c>
      <c r="C120" s="6">
        <v>45408</v>
      </c>
      <c r="D120" s="2" t="str">
        <f t="shared" si="2"/>
        <v>April</v>
      </c>
      <c r="E120" t="s">
        <v>288</v>
      </c>
      <c r="F120">
        <v>37</v>
      </c>
      <c r="G120" t="str">
        <f t="shared" si="3"/>
        <v>Adult</v>
      </c>
      <c r="H120" t="s">
        <v>42</v>
      </c>
      <c r="I120" t="s">
        <v>120</v>
      </c>
      <c r="J120" t="s">
        <v>65</v>
      </c>
      <c r="K120" t="s">
        <v>25</v>
      </c>
      <c r="L120" t="s">
        <v>189</v>
      </c>
      <c r="M120">
        <v>9</v>
      </c>
      <c r="N120">
        <v>37265</v>
      </c>
      <c r="O120">
        <v>335385</v>
      </c>
      <c r="P120" t="s">
        <v>53</v>
      </c>
      <c r="Q120">
        <v>1</v>
      </c>
      <c r="R120">
        <v>4</v>
      </c>
      <c r="S120" t="s">
        <v>46</v>
      </c>
    </row>
    <row r="121" spans="1:19" x14ac:dyDescent="0.3">
      <c r="A121">
        <v>118</v>
      </c>
      <c r="B121" t="s">
        <v>289</v>
      </c>
      <c r="C121" s="6">
        <v>45409</v>
      </c>
      <c r="D121" s="2" t="str">
        <f t="shared" si="2"/>
        <v>April</v>
      </c>
      <c r="E121" t="s">
        <v>290</v>
      </c>
      <c r="F121">
        <v>44</v>
      </c>
      <c r="G121" t="str">
        <f t="shared" si="3"/>
        <v>Adult</v>
      </c>
      <c r="H121" t="s">
        <v>22</v>
      </c>
      <c r="I121" t="s">
        <v>80</v>
      </c>
      <c r="J121" t="s">
        <v>32</v>
      </c>
      <c r="K121" t="s">
        <v>33</v>
      </c>
      <c r="L121" t="s">
        <v>153</v>
      </c>
      <c r="M121">
        <v>3</v>
      </c>
      <c r="N121">
        <v>25036</v>
      </c>
      <c r="O121">
        <v>75108</v>
      </c>
      <c r="P121" t="s">
        <v>99</v>
      </c>
      <c r="Q121">
        <v>7</v>
      </c>
      <c r="R121">
        <v>3</v>
      </c>
      <c r="S121" t="s">
        <v>28</v>
      </c>
    </row>
    <row r="122" spans="1:19" x14ac:dyDescent="0.3">
      <c r="A122">
        <v>119</v>
      </c>
      <c r="B122" t="s">
        <v>291</v>
      </c>
      <c r="C122" s="6">
        <v>45410</v>
      </c>
      <c r="D122" s="2" t="str">
        <f t="shared" si="2"/>
        <v>April</v>
      </c>
      <c r="E122" t="s">
        <v>292</v>
      </c>
      <c r="F122">
        <v>31</v>
      </c>
      <c r="G122" t="str">
        <f t="shared" si="3"/>
        <v>Adult</v>
      </c>
      <c r="H122" t="s">
        <v>22</v>
      </c>
      <c r="I122" t="s">
        <v>49</v>
      </c>
      <c r="J122" t="s">
        <v>65</v>
      </c>
      <c r="K122" t="s">
        <v>51</v>
      </c>
      <c r="L122" t="s">
        <v>60</v>
      </c>
      <c r="M122">
        <v>10</v>
      </c>
      <c r="N122">
        <v>1136</v>
      </c>
      <c r="O122">
        <v>11360</v>
      </c>
      <c r="P122" t="s">
        <v>27</v>
      </c>
      <c r="Q122">
        <v>9</v>
      </c>
      <c r="R122">
        <v>1</v>
      </c>
      <c r="S122" t="s">
        <v>46</v>
      </c>
    </row>
    <row r="123" spans="1:19" x14ac:dyDescent="0.3">
      <c r="A123">
        <v>120</v>
      </c>
      <c r="B123" t="s">
        <v>293</v>
      </c>
      <c r="C123" s="6">
        <v>45411</v>
      </c>
      <c r="D123" s="2" t="str">
        <f t="shared" si="2"/>
        <v>April</v>
      </c>
      <c r="E123" t="s">
        <v>294</v>
      </c>
      <c r="F123">
        <v>56</v>
      </c>
      <c r="G123" t="str">
        <f t="shared" si="3"/>
        <v>Senior</v>
      </c>
      <c r="H123" t="s">
        <v>42</v>
      </c>
      <c r="I123" t="s">
        <v>43</v>
      </c>
      <c r="J123" t="s">
        <v>50</v>
      </c>
      <c r="K123" t="s">
        <v>51</v>
      </c>
      <c r="L123" t="s">
        <v>74</v>
      </c>
      <c r="M123">
        <v>9</v>
      </c>
      <c r="N123">
        <v>928</v>
      </c>
      <c r="O123">
        <v>8352</v>
      </c>
      <c r="P123" t="s">
        <v>116</v>
      </c>
      <c r="Q123">
        <v>8</v>
      </c>
      <c r="R123">
        <v>4</v>
      </c>
      <c r="S123" t="s">
        <v>28</v>
      </c>
    </row>
    <row r="124" spans="1:19" x14ac:dyDescent="0.3">
      <c r="A124">
        <v>121</v>
      </c>
      <c r="B124" t="s">
        <v>295</v>
      </c>
      <c r="C124" s="6">
        <v>45412</v>
      </c>
      <c r="D124" s="2" t="str">
        <f t="shared" si="2"/>
        <v>April</v>
      </c>
      <c r="E124" t="s">
        <v>296</v>
      </c>
      <c r="F124">
        <v>58</v>
      </c>
      <c r="G124" t="str">
        <f t="shared" si="3"/>
        <v>Senior</v>
      </c>
      <c r="H124" t="s">
        <v>22</v>
      </c>
      <c r="I124" t="s">
        <v>37</v>
      </c>
      <c r="J124" t="s">
        <v>50</v>
      </c>
      <c r="K124" t="s">
        <v>44</v>
      </c>
      <c r="L124" t="s">
        <v>45</v>
      </c>
      <c r="M124">
        <v>3</v>
      </c>
      <c r="N124">
        <v>25017</v>
      </c>
      <c r="O124">
        <v>75051</v>
      </c>
      <c r="P124" t="s">
        <v>61</v>
      </c>
      <c r="Q124">
        <v>7</v>
      </c>
      <c r="R124">
        <v>1</v>
      </c>
      <c r="S124" t="s">
        <v>46</v>
      </c>
    </row>
    <row r="125" spans="1:19" x14ac:dyDescent="0.3">
      <c r="A125">
        <v>122</v>
      </c>
      <c r="B125" t="s">
        <v>297</v>
      </c>
      <c r="C125" s="6">
        <v>45413</v>
      </c>
      <c r="D125" s="2" t="str">
        <f t="shared" si="2"/>
        <v>May</v>
      </c>
      <c r="E125" t="s">
        <v>298</v>
      </c>
      <c r="F125">
        <v>47</v>
      </c>
      <c r="G125" t="str">
        <f t="shared" si="3"/>
        <v>Adult</v>
      </c>
      <c r="H125" t="s">
        <v>22</v>
      </c>
      <c r="I125" t="s">
        <v>80</v>
      </c>
      <c r="J125" t="s">
        <v>50</v>
      </c>
      <c r="K125" t="s">
        <v>25</v>
      </c>
      <c r="L125" t="s">
        <v>94</v>
      </c>
      <c r="M125">
        <v>3</v>
      </c>
      <c r="N125">
        <v>40631</v>
      </c>
      <c r="O125">
        <v>121893</v>
      </c>
      <c r="P125" t="s">
        <v>53</v>
      </c>
      <c r="Q125">
        <v>6</v>
      </c>
      <c r="R125">
        <v>4</v>
      </c>
      <c r="S125" t="s">
        <v>46</v>
      </c>
    </row>
    <row r="126" spans="1:19" x14ac:dyDescent="0.3">
      <c r="A126">
        <v>123</v>
      </c>
      <c r="B126" t="s">
        <v>299</v>
      </c>
      <c r="C126" s="6">
        <v>45414</v>
      </c>
      <c r="D126" s="2" t="str">
        <f t="shared" si="2"/>
        <v>May</v>
      </c>
      <c r="E126" t="s">
        <v>300</v>
      </c>
      <c r="F126">
        <v>29</v>
      </c>
      <c r="G126" t="str">
        <f t="shared" si="3"/>
        <v>Teenager</v>
      </c>
      <c r="H126" t="s">
        <v>42</v>
      </c>
      <c r="I126" t="s">
        <v>43</v>
      </c>
      <c r="J126" t="s">
        <v>24</v>
      </c>
      <c r="K126" t="s">
        <v>38</v>
      </c>
      <c r="L126" t="s">
        <v>96</v>
      </c>
      <c r="M126">
        <v>3</v>
      </c>
      <c r="N126">
        <v>25660</v>
      </c>
      <c r="O126">
        <v>76980</v>
      </c>
      <c r="P126" t="s">
        <v>27</v>
      </c>
      <c r="Q126">
        <v>5</v>
      </c>
      <c r="R126">
        <v>2</v>
      </c>
      <c r="S126" t="s">
        <v>46</v>
      </c>
    </row>
    <row r="127" spans="1:19" x14ac:dyDescent="0.3">
      <c r="A127">
        <v>124</v>
      </c>
      <c r="B127" t="s">
        <v>301</v>
      </c>
      <c r="C127" s="6">
        <v>45415</v>
      </c>
      <c r="D127" s="2" t="str">
        <f t="shared" si="2"/>
        <v>May</v>
      </c>
      <c r="E127" t="s">
        <v>302</v>
      </c>
      <c r="F127">
        <v>54</v>
      </c>
      <c r="G127" t="str">
        <f t="shared" si="3"/>
        <v>Senior</v>
      </c>
      <c r="H127" t="s">
        <v>42</v>
      </c>
      <c r="I127" t="s">
        <v>49</v>
      </c>
      <c r="J127" t="s">
        <v>50</v>
      </c>
      <c r="K127" t="s">
        <v>33</v>
      </c>
      <c r="L127" t="s">
        <v>89</v>
      </c>
      <c r="M127">
        <v>7</v>
      </c>
      <c r="N127">
        <v>15493</v>
      </c>
      <c r="O127">
        <v>108451</v>
      </c>
      <c r="P127" t="s">
        <v>116</v>
      </c>
      <c r="Q127">
        <v>5</v>
      </c>
      <c r="R127">
        <v>1</v>
      </c>
      <c r="S127" t="s">
        <v>28</v>
      </c>
    </row>
    <row r="128" spans="1:19" x14ac:dyDescent="0.3">
      <c r="A128">
        <v>125</v>
      </c>
      <c r="B128" t="s">
        <v>303</v>
      </c>
      <c r="C128" s="6">
        <v>45416</v>
      </c>
      <c r="D128" s="2" t="str">
        <f t="shared" si="2"/>
        <v>May</v>
      </c>
      <c r="E128" t="s">
        <v>304</v>
      </c>
      <c r="F128">
        <v>18</v>
      </c>
      <c r="G128" t="str">
        <f t="shared" si="3"/>
        <v>Teenager</v>
      </c>
      <c r="H128" t="s">
        <v>42</v>
      </c>
      <c r="I128" t="s">
        <v>64</v>
      </c>
      <c r="J128" t="s">
        <v>24</v>
      </c>
      <c r="K128" t="s">
        <v>44</v>
      </c>
      <c r="L128" t="s">
        <v>91</v>
      </c>
      <c r="M128">
        <v>1</v>
      </c>
      <c r="N128">
        <v>48849</v>
      </c>
      <c r="O128">
        <v>48849</v>
      </c>
      <c r="P128" t="s">
        <v>116</v>
      </c>
      <c r="Q128">
        <v>8</v>
      </c>
      <c r="R128">
        <v>3</v>
      </c>
      <c r="S128" t="s">
        <v>46</v>
      </c>
    </row>
    <row r="129" spans="1:19" x14ac:dyDescent="0.3">
      <c r="A129">
        <v>126</v>
      </c>
      <c r="B129" t="s">
        <v>305</v>
      </c>
      <c r="C129" s="6">
        <v>45417</v>
      </c>
      <c r="D129" s="2" t="str">
        <f t="shared" si="2"/>
        <v>May</v>
      </c>
      <c r="E129" t="s">
        <v>63</v>
      </c>
      <c r="F129">
        <v>45</v>
      </c>
      <c r="G129" t="str">
        <f t="shared" si="3"/>
        <v>Adult</v>
      </c>
      <c r="H129" t="s">
        <v>22</v>
      </c>
      <c r="I129" t="s">
        <v>80</v>
      </c>
      <c r="J129" t="s">
        <v>24</v>
      </c>
      <c r="K129" t="s">
        <v>38</v>
      </c>
      <c r="L129" t="s">
        <v>39</v>
      </c>
      <c r="M129">
        <v>7</v>
      </c>
      <c r="N129">
        <v>47924</v>
      </c>
      <c r="O129">
        <v>335468</v>
      </c>
      <c r="P129" t="s">
        <v>53</v>
      </c>
      <c r="Q129">
        <v>2</v>
      </c>
      <c r="R129">
        <v>2</v>
      </c>
      <c r="S129" t="s">
        <v>46</v>
      </c>
    </row>
    <row r="130" spans="1:19" x14ac:dyDescent="0.3">
      <c r="A130">
        <v>127</v>
      </c>
      <c r="B130" t="s">
        <v>306</v>
      </c>
      <c r="C130" s="6">
        <v>45418</v>
      </c>
      <c r="D130" s="2" t="str">
        <f t="shared" si="2"/>
        <v>May</v>
      </c>
      <c r="E130" t="s">
        <v>298</v>
      </c>
      <c r="F130">
        <v>26</v>
      </c>
      <c r="G130" t="str">
        <f t="shared" si="3"/>
        <v>Teenager</v>
      </c>
      <c r="H130" t="s">
        <v>42</v>
      </c>
      <c r="I130" t="s">
        <v>64</v>
      </c>
      <c r="J130" t="s">
        <v>24</v>
      </c>
      <c r="K130" t="s">
        <v>25</v>
      </c>
      <c r="L130" t="s">
        <v>94</v>
      </c>
      <c r="M130">
        <v>4</v>
      </c>
      <c r="N130">
        <v>26452</v>
      </c>
      <c r="O130">
        <v>105808</v>
      </c>
      <c r="P130" t="s">
        <v>53</v>
      </c>
      <c r="Q130">
        <v>2</v>
      </c>
      <c r="R130">
        <v>5</v>
      </c>
      <c r="S130" t="s">
        <v>28</v>
      </c>
    </row>
    <row r="131" spans="1:19" x14ac:dyDescent="0.3">
      <c r="A131">
        <v>128</v>
      </c>
      <c r="B131" t="s">
        <v>307</v>
      </c>
      <c r="C131" s="6">
        <v>45419</v>
      </c>
      <c r="D131" s="2" t="str">
        <f t="shared" si="2"/>
        <v>May</v>
      </c>
      <c r="E131" t="s">
        <v>308</v>
      </c>
      <c r="F131">
        <v>39</v>
      </c>
      <c r="G131" t="str">
        <f t="shared" si="3"/>
        <v>Adult</v>
      </c>
      <c r="H131" t="s">
        <v>22</v>
      </c>
      <c r="I131" t="s">
        <v>23</v>
      </c>
      <c r="J131" t="s">
        <v>65</v>
      </c>
      <c r="K131" t="s">
        <v>38</v>
      </c>
      <c r="L131" t="s">
        <v>39</v>
      </c>
      <c r="M131">
        <v>3</v>
      </c>
      <c r="N131">
        <v>32471</v>
      </c>
      <c r="O131">
        <v>97413</v>
      </c>
      <c r="P131" t="s">
        <v>116</v>
      </c>
      <c r="Q131">
        <v>7</v>
      </c>
      <c r="R131">
        <v>1</v>
      </c>
      <c r="S131" t="s">
        <v>28</v>
      </c>
    </row>
    <row r="132" spans="1:19" x14ac:dyDescent="0.3">
      <c r="A132">
        <v>129</v>
      </c>
      <c r="B132" t="s">
        <v>309</v>
      </c>
      <c r="C132" s="6">
        <v>45420</v>
      </c>
      <c r="D132" s="2" t="str">
        <f t="shared" ref="D132:D195" si="4">TEXT(C132,"mmmm")</f>
        <v>May</v>
      </c>
      <c r="E132" t="s">
        <v>63</v>
      </c>
      <c r="F132">
        <v>40</v>
      </c>
      <c r="G132" t="str">
        <f t="shared" ref="G132:G195" si="5">IF(F132&gt;=50,"Senior",IF(F132&gt;=30,"Adult","Teenager"))</f>
        <v>Adult</v>
      </c>
      <c r="H132" t="s">
        <v>22</v>
      </c>
      <c r="I132" t="s">
        <v>49</v>
      </c>
      <c r="J132" t="s">
        <v>24</v>
      </c>
      <c r="K132" t="s">
        <v>25</v>
      </c>
      <c r="L132" t="s">
        <v>94</v>
      </c>
      <c r="M132">
        <v>4</v>
      </c>
      <c r="N132">
        <v>42672</v>
      </c>
      <c r="O132">
        <v>170688</v>
      </c>
      <c r="P132" t="s">
        <v>53</v>
      </c>
      <c r="Q132">
        <v>10</v>
      </c>
      <c r="R132">
        <v>1</v>
      </c>
      <c r="S132" t="s">
        <v>46</v>
      </c>
    </row>
    <row r="133" spans="1:19" x14ac:dyDescent="0.3">
      <c r="A133">
        <v>130</v>
      </c>
      <c r="B133" t="s">
        <v>310</v>
      </c>
      <c r="C133" s="6">
        <v>45421</v>
      </c>
      <c r="D133" s="2" t="str">
        <f t="shared" si="4"/>
        <v>May</v>
      </c>
      <c r="E133" t="s">
        <v>311</v>
      </c>
      <c r="F133">
        <v>20</v>
      </c>
      <c r="G133" t="str">
        <f t="shared" si="5"/>
        <v>Teenager</v>
      </c>
      <c r="H133" t="s">
        <v>22</v>
      </c>
      <c r="I133" t="s">
        <v>31</v>
      </c>
      <c r="J133" t="s">
        <v>24</v>
      </c>
      <c r="K133" t="s">
        <v>51</v>
      </c>
      <c r="L133" t="s">
        <v>86</v>
      </c>
      <c r="M133">
        <v>9</v>
      </c>
      <c r="N133">
        <v>1333</v>
      </c>
      <c r="O133">
        <v>11997</v>
      </c>
      <c r="P133" t="s">
        <v>116</v>
      </c>
      <c r="Q133">
        <v>10</v>
      </c>
      <c r="R133">
        <v>2</v>
      </c>
      <c r="S133" t="s">
        <v>28</v>
      </c>
    </row>
    <row r="134" spans="1:19" x14ac:dyDescent="0.3">
      <c r="A134">
        <v>131</v>
      </c>
      <c r="B134" t="s">
        <v>312</v>
      </c>
      <c r="C134" s="6">
        <v>45422</v>
      </c>
      <c r="D134" s="2" t="str">
        <f t="shared" si="4"/>
        <v>May</v>
      </c>
      <c r="E134" t="s">
        <v>313</v>
      </c>
      <c r="F134">
        <v>25</v>
      </c>
      <c r="G134" t="str">
        <f t="shared" si="5"/>
        <v>Teenager</v>
      </c>
      <c r="H134" t="s">
        <v>42</v>
      </c>
      <c r="I134" t="s">
        <v>31</v>
      </c>
      <c r="J134" t="s">
        <v>65</v>
      </c>
      <c r="K134" t="s">
        <v>25</v>
      </c>
      <c r="L134" t="s">
        <v>26</v>
      </c>
      <c r="M134">
        <v>5</v>
      </c>
      <c r="N134">
        <v>29859</v>
      </c>
      <c r="O134">
        <v>149295</v>
      </c>
      <c r="P134" t="s">
        <v>27</v>
      </c>
      <c r="Q134">
        <v>9</v>
      </c>
      <c r="R134">
        <v>1</v>
      </c>
      <c r="S134" t="s">
        <v>46</v>
      </c>
    </row>
    <row r="135" spans="1:19" x14ac:dyDescent="0.3">
      <c r="A135">
        <v>132</v>
      </c>
      <c r="B135" t="s">
        <v>314</v>
      </c>
      <c r="C135" s="6">
        <v>45423</v>
      </c>
      <c r="D135" s="2" t="str">
        <f t="shared" si="4"/>
        <v>May</v>
      </c>
      <c r="E135" t="s">
        <v>126</v>
      </c>
      <c r="F135">
        <v>42</v>
      </c>
      <c r="G135" t="str">
        <f t="shared" si="5"/>
        <v>Adult</v>
      </c>
      <c r="H135" t="s">
        <v>22</v>
      </c>
      <c r="I135" t="s">
        <v>43</v>
      </c>
      <c r="J135" t="s">
        <v>50</v>
      </c>
      <c r="K135" t="s">
        <v>25</v>
      </c>
      <c r="L135" t="s">
        <v>26</v>
      </c>
      <c r="M135">
        <v>3</v>
      </c>
      <c r="N135">
        <v>6482</v>
      </c>
      <c r="O135">
        <v>19446</v>
      </c>
      <c r="P135" t="s">
        <v>53</v>
      </c>
      <c r="Q135">
        <v>6</v>
      </c>
      <c r="R135">
        <v>2</v>
      </c>
      <c r="S135" t="s">
        <v>28</v>
      </c>
    </row>
    <row r="136" spans="1:19" x14ac:dyDescent="0.3">
      <c r="A136">
        <v>133</v>
      </c>
      <c r="B136" t="s">
        <v>315</v>
      </c>
      <c r="C136" s="6">
        <v>45424</v>
      </c>
      <c r="D136" s="2" t="str">
        <f t="shared" si="4"/>
        <v>May</v>
      </c>
      <c r="E136" t="s">
        <v>164</v>
      </c>
      <c r="F136">
        <v>53</v>
      </c>
      <c r="G136" t="str">
        <f t="shared" si="5"/>
        <v>Senior</v>
      </c>
      <c r="H136" t="s">
        <v>42</v>
      </c>
      <c r="I136" t="s">
        <v>43</v>
      </c>
      <c r="J136" t="s">
        <v>50</v>
      </c>
      <c r="K136" t="s">
        <v>33</v>
      </c>
      <c r="L136" t="s">
        <v>34</v>
      </c>
      <c r="M136">
        <v>5</v>
      </c>
      <c r="N136">
        <v>21248</v>
      </c>
      <c r="O136">
        <v>106240</v>
      </c>
      <c r="P136" t="s">
        <v>53</v>
      </c>
      <c r="Q136">
        <v>1</v>
      </c>
      <c r="R136">
        <v>1</v>
      </c>
      <c r="S136" t="s">
        <v>46</v>
      </c>
    </row>
    <row r="137" spans="1:19" x14ac:dyDescent="0.3">
      <c r="A137">
        <v>134</v>
      </c>
      <c r="B137" t="s">
        <v>316</v>
      </c>
      <c r="C137" s="6">
        <v>45425</v>
      </c>
      <c r="D137" s="2" t="str">
        <f t="shared" si="4"/>
        <v>May</v>
      </c>
      <c r="E137" t="s">
        <v>317</v>
      </c>
      <c r="F137">
        <v>30</v>
      </c>
      <c r="G137" t="str">
        <f t="shared" si="5"/>
        <v>Adult</v>
      </c>
      <c r="H137" t="s">
        <v>42</v>
      </c>
      <c r="I137" t="s">
        <v>31</v>
      </c>
      <c r="J137" t="s">
        <v>32</v>
      </c>
      <c r="K137" t="s">
        <v>33</v>
      </c>
      <c r="L137" t="s">
        <v>153</v>
      </c>
      <c r="M137">
        <v>8</v>
      </c>
      <c r="N137">
        <v>652</v>
      </c>
      <c r="O137">
        <v>5216</v>
      </c>
      <c r="P137" t="s">
        <v>116</v>
      </c>
      <c r="Q137">
        <v>5</v>
      </c>
      <c r="R137">
        <v>2</v>
      </c>
      <c r="S137" t="s">
        <v>28</v>
      </c>
    </row>
    <row r="138" spans="1:19" x14ac:dyDescent="0.3">
      <c r="A138">
        <v>135</v>
      </c>
      <c r="B138" t="s">
        <v>318</v>
      </c>
      <c r="C138" s="6">
        <v>45426</v>
      </c>
      <c r="D138" s="2" t="str">
        <f t="shared" si="4"/>
        <v>May</v>
      </c>
      <c r="E138" t="s">
        <v>319</v>
      </c>
      <c r="F138">
        <v>57</v>
      </c>
      <c r="G138" t="str">
        <f t="shared" si="5"/>
        <v>Senior</v>
      </c>
      <c r="H138" t="s">
        <v>22</v>
      </c>
      <c r="I138" t="s">
        <v>23</v>
      </c>
      <c r="J138" t="s">
        <v>50</v>
      </c>
      <c r="K138" t="s">
        <v>25</v>
      </c>
      <c r="L138" t="s">
        <v>189</v>
      </c>
      <c r="M138">
        <v>3</v>
      </c>
      <c r="N138">
        <v>3071</v>
      </c>
      <c r="O138">
        <v>9213</v>
      </c>
      <c r="P138" t="s">
        <v>116</v>
      </c>
      <c r="Q138">
        <v>4</v>
      </c>
      <c r="R138">
        <v>4</v>
      </c>
      <c r="S138" t="s">
        <v>28</v>
      </c>
    </row>
    <row r="139" spans="1:19" x14ac:dyDescent="0.3">
      <c r="A139">
        <v>136</v>
      </c>
      <c r="B139" t="s">
        <v>320</v>
      </c>
      <c r="C139" s="6">
        <v>45427</v>
      </c>
      <c r="D139" s="2" t="str">
        <f t="shared" si="4"/>
        <v>May</v>
      </c>
      <c r="E139" t="s">
        <v>101</v>
      </c>
      <c r="F139">
        <v>32</v>
      </c>
      <c r="G139" t="str">
        <f t="shared" si="5"/>
        <v>Adult</v>
      </c>
      <c r="H139" t="s">
        <v>42</v>
      </c>
      <c r="I139" t="s">
        <v>120</v>
      </c>
      <c r="J139" t="s">
        <v>65</v>
      </c>
      <c r="K139" t="s">
        <v>38</v>
      </c>
      <c r="L139" t="s">
        <v>96</v>
      </c>
      <c r="M139">
        <v>5</v>
      </c>
      <c r="N139">
        <v>16674</v>
      </c>
      <c r="O139">
        <v>83370</v>
      </c>
      <c r="P139" t="s">
        <v>27</v>
      </c>
      <c r="Q139">
        <v>6</v>
      </c>
      <c r="R139">
        <v>1</v>
      </c>
      <c r="S139" t="s">
        <v>46</v>
      </c>
    </row>
    <row r="140" spans="1:19" x14ac:dyDescent="0.3">
      <c r="A140">
        <v>137</v>
      </c>
      <c r="B140" t="s">
        <v>321</v>
      </c>
      <c r="C140" s="6">
        <v>45428</v>
      </c>
      <c r="D140" s="2" t="str">
        <f t="shared" si="4"/>
        <v>May</v>
      </c>
      <c r="E140" t="s">
        <v>322</v>
      </c>
      <c r="F140">
        <v>32</v>
      </c>
      <c r="G140" t="str">
        <f t="shared" si="5"/>
        <v>Adult</v>
      </c>
      <c r="H140" t="s">
        <v>42</v>
      </c>
      <c r="I140" t="s">
        <v>43</v>
      </c>
      <c r="J140" t="s">
        <v>24</v>
      </c>
      <c r="K140" t="s">
        <v>38</v>
      </c>
      <c r="L140" t="s">
        <v>71</v>
      </c>
      <c r="M140">
        <v>8</v>
      </c>
      <c r="N140">
        <v>27402</v>
      </c>
      <c r="O140">
        <v>219216</v>
      </c>
      <c r="P140" t="s">
        <v>61</v>
      </c>
      <c r="Q140">
        <v>8</v>
      </c>
      <c r="R140">
        <v>2</v>
      </c>
      <c r="S140" t="s">
        <v>46</v>
      </c>
    </row>
    <row r="141" spans="1:19" x14ac:dyDescent="0.3">
      <c r="A141">
        <v>138</v>
      </c>
      <c r="B141" t="s">
        <v>323</v>
      </c>
      <c r="C141" s="6">
        <v>45429</v>
      </c>
      <c r="D141" s="2" t="str">
        <f t="shared" si="4"/>
        <v>May</v>
      </c>
      <c r="E141" t="s">
        <v>324</v>
      </c>
      <c r="F141">
        <v>40</v>
      </c>
      <c r="G141" t="str">
        <f t="shared" si="5"/>
        <v>Adult</v>
      </c>
      <c r="H141" t="s">
        <v>42</v>
      </c>
      <c r="I141" t="s">
        <v>120</v>
      </c>
      <c r="J141" t="s">
        <v>65</v>
      </c>
      <c r="K141" t="s">
        <v>33</v>
      </c>
      <c r="L141" t="s">
        <v>153</v>
      </c>
      <c r="M141">
        <v>5</v>
      </c>
      <c r="N141">
        <v>27319</v>
      </c>
      <c r="O141">
        <v>136595</v>
      </c>
      <c r="P141" t="s">
        <v>27</v>
      </c>
      <c r="Q141">
        <v>2</v>
      </c>
      <c r="R141">
        <v>5</v>
      </c>
      <c r="S141" t="s">
        <v>46</v>
      </c>
    </row>
    <row r="142" spans="1:19" x14ac:dyDescent="0.3">
      <c r="A142">
        <v>139</v>
      </c>
      <c r="B142" t="s">
        <v>325</v>
      </c>
      <c r="C142" s="6">
        <v>45430</v>
      </c>
      <c r="D142" s="2" t="str">
        <f t="shared" si="4"/>
        <v>May</v>
      </c>
      <c r="E142" t="s">
        <v>326</v>
      </c>
      <c r="F142">
        <v>26</v>
      </c>
      <c r="G142" t="str">
        <f t="shared" si="5"/>
        <v>Teenager</v>
      </c>
      <c r="H142" t="s">
        <v>22</v>
      </c>
      <c r="I142" t="s">
        <v>64</v>
      </c>
      <c r="J142" t="s">
        <v>32</v>
      </c>
      <c r="K142" t="s">
        <v>38</v>
      </c>
      <c r="L142" t="s">
        <v>96</v>
      </c>
      <c r="M142">
        <v>1</v>
      </c>
      <c r="N142">
        <v>32547</v>
      </c>
      <c r="O142">
        <v>32547</v>
      </c>
      <c r="P142" t="s">
        <v>116</v>
      </c>
      <c r="Q142">
        <v>6</v>
      </c>
      <c r="R142">
        <v>4</v>
      </c>
      <c r="S142" t="s">
        <v>28</v>
      </c>
    </row>
    <row r="143" spans="1:19" x14ac:dyDescent="0.3">
      <c r="A143">
        <v>140</v>
      </c>
      <c r="B143" t="s">
        <v>327</v>
      </c>
      <c r="C143" s="6">
        <v>45431</v>
      </c>
      <c r="D143" s="2" t="str">
        <f t="shared" si="4"/>
        <v>May</v>
      </c>
      <c r="E143" t="s">
        <v>328</v>
      </c>
      <c r="F143">
        <v>42</v>
      </c>
      <c r="G143" t="str">
        <f t="shared" si="5"/>
        <v>Adult</v>
      </c>
      <c r="H143" t="s">
        <v>42</v>
      </c>
      <c r="I143" t="s">
        <v>64</v>
      </c>
      <c r="J143" t="s">
        <v>32</v>
      </c>
      <c r="K143" t="s">
        <v>44</v>
      </c>
      <c r="L143" t="s">
        <v>178</v>
      </c>
      <c r="M143">
        <v>3</v>
      </c>
      <c r="N143">
        <v>13134</v>
      </c>
      <c r="O143">
        <v>39402</v>
      </c>
      <c r="P143" t="s">
        <v>27</v>
      </c>
      <c r="Q143">
        <v>2</v>
      </c>
      <c r="R143">
        <v>1</v>
      </c>
      <c r="S143" t="s">
        <v>28</v>
      </c>
    </row>
    <row r="144" spans="1:19" x14ac:dyDescent="0.3">
      <c r="A144">
        <v>141</v>
      </c>
      <c r="B144" t="s">
        <v>329</v>
      </c>
      <c r="C144" s="6">
        <v>45432</v>
      </c>
      <c r="D144" s="2" t="str">
        <f t="shared" si="4"/>
        <v>May</v>
      </c>
      <c r="E144" t="s">
        <v>246</v>
      </c>
      <c r="F144">
        <v>54</v>
      </c>
      <c r="G144" t="str">
        <f t="shared" si="5"/>
        <v>Senior</v>
      </c>
      <c r="H144" t="s">
        <v>42</v>
      </c>
      <c r="I144" t="s">
        <v>49</v>
      </c>
      <c r="J144" t="s">
        <v>32</v>
      </c>
      <c r="K144" t="s">
        <v>33</v>
      </c>
      <c r="L144" t="s">
        <v>153</v>
      </c>
      <c r="M144">
        <v>4</v>
      </c>
      <c r="N144">
        <v>36112</v>
      </c>
      <c r="O144">
        <v>144448</v>
      </c>
      <c r="P144" t="s">
        <v>116</v>
      </c>
      <c r="Q144">
        <v>5</v>
      </c>
      <c r="R144">
        <v>1</v>
      </c>
      <c r="S144" t="s">
        <v>28</v>
      </c>
    </row>
    <row r="145" spans="1:19" x14ac:dyDescent="0.3">
      <c r="A145">
        <v>142</v>
      </c>
      <c r="B145" t="s">
        <v>330</v>
      </c>
      <c r="C145" s="6">
        <v>45433</v>
      </c>
      <c r="D145" s="2" t="str">
        <f t="shared" si="4"/>
        <v>May</v>
      </c>
      <c r="E145" t="s">
        <v>331</v>
      </c>
      <c r="F145">
        <v>34</v>
      </c>
      <c r="G145" t="str">
        <f t="shared" si="5"/>
        <v>Adult</v>
      </c>
      <c r="H145" t="s">
        <v>22</v>
      </c>
      <c r="I145" t="s">
        <v>43</v>
      </c>
      <c r="J145" t="s">
        <v>65</v>
      </c>
      <c r="K145" t="s">
        <v>38</v>
      </c>
      <c r="L145" t="s">
        <v>71</v>
      </c>
      <c r="M145">
        <v>1</v>
      </c>
      <c r="N145">
        <v>37573</v>
      </c>
      <c r="O145">
        <v>37573</v>
      </c>
      <c r="P145" t="s">
        <v>61</v>
      </c>
      <c r="Q145">
        <v>4</v>
      </c>
      <c r="R145">
        <v>3</v>
      </c>
      <c r="S145" t="s">
        <v>28</v>
      </c>
    </row>
    <row r="146" spans="1:19" x14ac:dyDescent="0.3">
      <c r="A146">
        <v>143</v>
      </c>
      <c r="B146" t="s">
        <v>332</v>
      </c>
      <c r="C146" s="6">
        <v>45434</v>
      </c>
      <c r="D146" s="2" t="str">
        <f t="shared" si="4"/>
        <v>May</v>
      </c>
      <c r="E146" t="s">
        <v>333</v>
      </c>
      <c r="F146">
        <v>27</v>
      </c>
      <c r="G146" t="str">
        <f t="shared" si="5"/>
        <v>Teenager</v>
      </c>
      <c r="H146" t="s">
        <v>42</v>
      </c>
      <c r="I146" t="s">
        <v>102</v>
      </c>
      <c r="J146" t="s">
        <v>65</v>
      </c>
      <c r="K146" t="s">
        <v>51</v>
      </c>
      <c r="L146" t="s">
        <v>86</v>
      </c>
      <c r="M146">
        <v>7</v>
      </c>
      <c r="N146">
        <v>211</v>
      </c>
      <c r="O146">
        <v>1477</v>
      </c>
      <c r="P146" t="s">
        <v>53</v>
      </c>
      <c r="Q146">
        <v>7</v>
      </c>
      <c r="R146">
        <v>4</v>
      </c>
      <c r="S146" t="s">
        <v>46</v>
      </c>
    </row>
    <row r="147" spans="1:19" x14ac:dyDescent="0.3">
      <c r="A147">
        <v>144</v>
      </c>
      <c r="B147" t="s">
        <v>334</v>
      </c>
      <c r="C147" s="6">
        <v>45435</v>
      </c>
      <c r="D147" s="2" t="str">
        <f t="shared" si="4"/>
        <v>May</v>
      </c>
      <c r="E147" t="s">
        <v>335</v>
      </c>
      <c r="F147">
        <v>37</v>
      </c>
      <c r="G147" t="str">
        <f t="shared" si="5"/>
        <v>Adult</v>
      </c>
      <c r="H147" t="s">
        <v>22</v>
      </c>
      <c r="I147" t="s">
        <v>49</v>
      </c>
      <c r="J147" t="s">
        <v>65</v>
      </c>
      <c r="K147" t="s">
        <v>38</v>
      </c>
      <c r="L147" t="s">
        <v>96</v>
      </c>
      <c r="M147">
        <v>2</v>
      </c>
      <c r="N147">
        <v>12480</v>
      </c>
      <c r="O147">
        <v>24960</v>
      </c>
      <c r="P147" t="s">
        <v>27</v>
      </c>
      <c r="Q147">
        <v>8</v>
      </c>
      <c r="R147">
        <v>5</v>
      </c>
      <c r="S147" t="s">
        <v>28</v>
      </c>
    </row>
    <row r="148" spans="1:19" x14ac:dyDescent="0.3">
      <c r="A148">
        <v>145</v>
      </c>
      <c r="B148" t="s">
        <v>336</v>
      </c>
      <c r="C148" s="6">
        <v>45436</v>
      </c>
      <c r="D148" s="2" t="str">
        <f t="shared" si="4"/>
        <v>May</v>
      </c>
      <c r="E148" t="s">
        <v>337</v>
      </c>
      <c r="F148">
        <v>34</v>
      </c>
      <c r="G148" t="str">
        <f t="shared" si="5"/>
        <v>Adult</v>
      </c>
      <c r="H148" t="s">
        <v>42</v>
      </c>
      <c r="I148" t="s">
        <v>31</v>
      </c>
      <c r="J148" t="s">
        <v>32</v>
      </c>
      <c r="K148" t="s">
        <v>33</v>
      </c>
      <c r="L148" t="s">
        <v>160</v>
      </c>
      <c r="M148">
        <v>7</v>
      </c>
      <c r="N148">
        <v>30547</v>
      </c>
      <c r="O148">
        <v>213829</v>
      </c>
      <c r="P148" t="s">
        <v>61</v>
      </c>
      <c r="Q148">
        <v>9</v>
      </c>
      <c r="R148">
        <v>2</v>
      </c>
      <c r="S148" t="s">
        <v>28</v>
      </c>
    </row>
    <row r="149" spans="1:19" x14ac:dyDescent="0.3">
      <c r="A149">
        <v>146</v>
      </c>
      <c r="B149" t="s">
        <v>338</v>
      </c>
      <c r="C149" s="6">
        <v>45437</v>
      </c>
      <c r="D149" s="2" t="str">
        <f t="shared" si="4"/>
        <v>May</v>
      </c>
      <c r="E149" t="s">
        <v>339</v>
      </c>
      <c r="F149">
        <v>51</v>
      </c>
      <c r="G149" t="str">
        <f t="shared" si="5"/>
        <v>Senior</v>
      </c>
      <c r="H149" t="s">
        <v>22</v>
      </c>
      <c r="I149" t="s">
        <v>70</v>
      </c>
      <c r="J149" t="s">
        <v>24</v>
      </c>
      <c r="K149" t="s">
        <v>25</v>
      </c>
      <c r="L149" t="s">
        <v>77</v>
      </c>
      <c r="M149">
        <v>10</v>
      </c>
      <c r="N149">
        <v>39509</v>
      </c>
      <c r="O149">
        <v>395090</v>
      </c>
      <c r="P149" t="s">
        <v>99</v>
      </c>
      <c r="Q149">
        <v>9</v>
      </c>
      <c r="R149">
        <v>5</v>
      </c>
      <c r="S149" t="s">
        <v>46</v>
      </c>
    </row>
    <row r="150" spans="1:19" x14ac:dyDescent="0.3">
      <c r="A150">
        <v>147</v>
      </c>
      <c r="B150" t="s">
        <v>340</v>
      </c>
      <c r="C150" s="6">
        <v>45438</v>
      </c>
      <c r="D150" s="2" t="str">
        <f t="shared" si="4"/>
        <v>May</v>
      </c>
      <c r="E150" t="s">
        <v>341</v>
      </c>
      <c r="F150">
        <v>19</v>
      </c>
      <c r="G150" t="str">
        <f t="shared" si="5"/>
        <v>Teenager</v>
      </c>
      <c r="H150" t="s">
        <v>22</v>
      </c>
      <c r="I150" t="s">
        <v>120</v>
      </c>
      <c r="J150" t="s">
        <v>32</v>
      </c>
      <c r="K150" t="s">
        <v>44</v>
      </c>
      <c r="L150" t="s">
        <v>121</v>
      </c>
      <c r="M150">
        <v>4</v>
      </c>
      <c r="N150">
        <v>45247</v>
      </c>
      <c r="O150">
        <v>180988</v>
      </c>
      <c r="P150" t="s">
        <v>99</v>
      </c>
      <c r="Q150">
        <v>6</v>
      </c>
      <c r="R150">
        <v>1</v>
      </c>
      <c r="S150" t="s">
        <v>28</v>
      </c>
    </row>
    <row r="151" spans="1:19" x14ac:dyDescent="0.3">
      <c r="A151">
        <v>148</v>
      </c>
      <c r="B151" t="s">
        <v>342</v>
      </c>
      <c r="C151" s="6">
        <v>45439</v>
      </c>
      <c r="D151" s="2" t="str">
        <f t="shared" si="4"/>
        <v>May</v>
      </c>
      <c r="E151" t="s">
        <v>343</v>
      </c>
      <c r="F151">
        <v>23</v>
      </c>
      <c r="G151" t="str">
        <f t="shared" si="5"/>
        <v>Teenager</v>
      </c>
      <c r="H151" t="s">
        <v>22</v>
      </c>
      <c r="I151" t="s">
        <v>120</v>
      </c>
      <c r="J151" t="s">
        <v>65</v>
      </c>
      <c r="K151" t="s">
        <v>33</v>
      </c>
      <c r="L151" t="s">
        <v>89</v>
      </c>
      <c r="M151">
        <v>6</v>
      </c>
      <c r="N151">
        <v>17217</v>
      </c>
      <c r="O151">
        <v>103302</v>
      </c>
      <c r="P151" t="s">
        <v>61</v>
      </c>
      <c r="Q151">
        <v>10</v>
      </c>
      <c r="R151">
        <v>5</v>
      </c>
      <c r="S151" t="s">
        <v>28</v>
      </c>
    </row>
    <row r="152" spans="1:19" x14ac:dyDescent="0.3">
      <c r="A152">
        <v>149</v>
      </c>
      <c r="B152" t="s">
        <v>344</v>
      </c>
      <c r="C152" s="6">
        <v>45440</v>
      </c>
      <c r="D152" s="2" t="str">
        <f t="shared" si="4"/>
        <v>May</v>
      </c>
      <c r="E152" t="s">
        <v>345</v>
      </c>
      <c r="F152">
        <v>39</v>
      </c>
      <c r="G152" t="str">
        <f t="shared" si="5"/>
        <v>Adult</v>
      </c>
      <c r="H152" t="s">
        <v>42</v>
      </c>
      <c r="I152" t="s">
        <v>49</v>
      </c>
      <c r="J152" t="s">
        <v>32</v>
      </c>
      <c r="K152" t="s">
        <v>38</v>
      </c>
      <c r="L152" t="s">
        <v>81</v>
      </c>
      <c r="M152">
        <v>10</v>
      </c>
      <c r="N152">
        <v>28939</v>
      </c>
      <c r="O152">
        <v>289390</v>
      </c>
      <c r="P152" t="s">
        <v>99</v>
      </c>
      <c r="Q152">
        <v>8</v>
      </c>
      <c r="R152">
        <v>5</v>
      </c>
      <c r="S152" t="s">
        <v>46</v>
      </c>
    </row>
    <row r="153" spans="1:19" x14ac:dyDescent="0.3">
      <c r="A153">
        <v>150</v>
      </c>
      <c r="B153" t="s">
        <v>346</v>
      </c>
      <c r="C153" s="6">
        <v>45441</v>
      </c>
      <c r="D153" s="2" t="str">
        <f t="shared" si="4"/>
        <v>May</v>
      </c>
      <c r="E153" t="s">
        <v>347</v>
      </c>
      <c r="F153">
        <v>28</v>
      </c>
      <c r="G153" t="str">
        <f t="shared" si="5"/>
        <v>Teenager</v>
      </c>
      <c r="H153" t="s">
        <v>22</v>
      </c>
      <c r="I153" t="s">
        <v>43</v>
      </c>
      <c r="J153" t="s">
        <v>65</v>
      </c>
      <c r="K153" t="s">
        <v>25</v>
      </c>
      <c r="L153" t="s">
        <v>26</v>
      </c>
      <c r="M153">
        <v>8</v>
      </c>
      <c r="N153">
        <v>44148</v>
      </c>
      <c r="O153">
        <v>353184</v>
      </c>
      <c r="P153" t="s">
        <v>99</v>
      </c>
      <c r="Q153">
        <v>3</v>
      </c>
      <c r="R153">
        <v>5</v>
      </c>
      <c r="S153" t="s">
        <v>28</v>
      </c>
    </row>
    <row r="154" spans="1:19" x14ac:dyDescent="0.3">
      <c r="A154">
        <v>151</v>
      </c>
      <c r="B154" t="s">
        <v>348</v>
      </c>
      <c r="C154" s="6">
        <v>45442</v>
      </c>
      <c r="D154" s="2" t="str">
        <f t="shared" si="4"/>
        <v>May</v>
      </c>
      <c r="E154" t="s">
        <v>349</v>
      </c>
      <c r="F154">
        <v>25</v>
      </c>
      <c r="G154" t="str">
        <f t="shared" si="5"/>
        <v>Teenager</v>
      </c>
      <c r="H154" t="s">
        <v>42</v>
      </c>
      <c r="I154" t="s">
        <v>37</v>
      </c>
      <c r="J154" t="s">
        <v>24</v>
      </c>
      <c r="K154" t="s">
        <v>38</v>
      </c>
      <c r="L154" t="s">
        <v>81</v>
      </c>
      <c r="M154">
        <v>5</v>
      </c>
      <c r="N154">
        <v>15847</v>
      </c>
      <c r="O154">
        <v>79235</v>
      </c>
      <c r="P154" t="s">
        <v>99</v>
      </c>
      <c r="Q154">
        <v>9</v>
      </c>
      <c r="R154">
        <v>1</v>
      </c>
      <c r="S154" t="s">
        <v>28</v>
      </c>
    </row>
    <row r="155" spans="1:19" x14ac:dyDescent="0.3">
      <c r="A155">
        <v>152</v>
      </c>
      <c r="B155" t="s">
        <v>350</v>
      </c>
      <c r="C155" s="6">
        <v>45443</v>
      </c>
      <c r="D155" s="2" t="str">
        <f t="shared" si="4"/>
        <v>May</v>
      </c>
      <c r="E155" t="s">
        <v>30</v>
      </c>
      <c r="F155">
        <v>33</v>
      </c>
      <c r="G155" t="str">
        <f t="shared" si="5"/>
        <v>Adult</v>
      </c>
      <c r="H155" t="s">
        <v>42</v>
      </c>
      <c r="I155" t="s">
        <v>102</v>
      </c>
      <c r="J155" t="s">
        <v>24</v>
      </c>
      <c r="K155" t="s">
        <v>38</v>
      </c>
      <c r="L155" t="s">
        <v>71</v>
      </c>
      <c r="M155">
        <v>2</v>
      </c>
      <c r="N155">
        <v>35111</v>
      </c>
      <c r="O155">
        <v>70222</v>
      </c>
      <c r="P155" t="s">
        <v>116</v>
      </c>
      <c r="Q155">
        <v>3</v>
      </c>
      <c r="R155">
        <v>4</v>
      </c>
      <c r="S155" t="s">
        <v>46</v>
      </c>
    </row>
    <row r="156" spans="1:19" x14ac:dyDescent="0.3">
      <c r="A156">
        <v>153</v>
      </c>
      <c r="B156" t="s">
        <v>351</v>
      </c>
      <c r="C156" s="6">
        <v>45444</v>
      </c>
      <c r="D156" s="2" t="str">
        <f t="shared" si="4"/>
        <v>June</v>
      </c>
      <c r="E156" t="s">
        <v>352</v>
      </c>
      <c r="F156">
        <v>52</v>
      </c>
      <c r="G156" t="str">
        <f t="shared" si="5"/>
        <v>Senior</v>
      </c>
      <c r="H156" t="s">
        <v>42</v>
      </c>
      <c r="I156" t="s">
        <v>49</v>
      </c>
      <c r="J156" t="s">
        <v>32</v>
      </c>
      <c r="K156" t="s">
        <v>33</v>
      </c>
      <c r="L156" t="s">
        <v>34</v>
      </c>
      <c r="M156">
        <v>1</v>
      </c>
      <c r="N156">
        <v>20402</v>
      </c>
      <c r="O156">
        <v>20402</v>
      </c>
      <c r="P156" t="s">
        <v>53</v>
      </c>
      <c r="Q156">
        <v>1</v>
      </c>
      <c r="R156">
        <v>3</v>
      </c>
      <c r="S156" t="s">
        <v>46</v>
      </c>
    </row>
    <row r="157" spans="1:19" x14ac:dyDescent="0.3">
      <c r="A157">
        <v>154</v>
      </c>
      <c r="B157" t="s">
        <v>353</v>
      </c>
      <c r="C157" s="6">
        <v>45445</v>
      </c>
      <c r="D157" s="2" t="str">
        <f t="shared" si="4"/>
        <v>June</v>
      </c>
      <c r="E157" t="s">
        <v>354</v>
      </c>
      <c r="F157">
        <v>37</v>
      </c>
      <c r="G157" t="str">
        <f t="shared" si="5"/>
        <v>Adult</v>
      </c>
      <c r="H157" t="s">
        <v>42</v>
      </c>
      <c r="I157" t="s">
        <v>64</v>
      </c>
      <c r="J157" t="s">
        <v>32</v>
      </c>
      <c r="K157" t="s">
        <v>33</v>
      </c>
      <c r="L157" t="s">
        <v>89</v>
      </c>
      <c r="M157">
        <v>8</v>
      </c>
      <c r="N157">
        <v>4316</v>
      </c>
      <c r="O157">
        <v>34528</v>
      </c>
      <c r="P157" t="s">
        <v>99</v>
      </c>
      <c r="Q157">
        <v>8</v>
      </c>
      <c r="R157">
        <v>5</v>
      </c>
      <c r="S157" t="s">
        <v>46</v>
      </c>
    </row>
    <row r="158" spans="1:19" x14ac:dyDescent="0.3">
      <c r="A158">
        <v>155</v>
      </c>
      <c r="B158" t="s">
        <v>355</v>
      </c>
      <c r="C158" s="6">
        <v>45446</v>
      </c>
      <c r="D158" s="2" t="str">
        <f t="shared" si="4"/>
        <v>June</v>
      </c>
      <c r="E158" t="s">
        <v>356</v>
      </c>
      <c r="F158">
        <v>28</v>
      </c>
      <c r="G158" t="str">
        <f t="shared" si="5"/>
        <v>Teenager</v>
      </c>
      <c r="H158" t="s">
        <v>42</v>
      </c>
      <c r="I158" t="s">
        <v>43</v>
      </c>
      <c r="J158" t="s">
        <v>50</v>
      </c>
      <c r="K158" t="s">
        <v>44</v>
      </c>
      <c r="L158" t="s">
        <v>91</v>
      </c>
      <c r="M158">
        <v>3</v>
      </c>
      <c r="N158">
        <v>40263</v>
      </c>
      <c r="O158">
        <v>120789</v>
      </c>
      <c r="P158" t="s">
        <v>27</v>
      </c>
      <c r="Q158">
        <v>6</v>
      </c>
      <c r="R158">
        <v>5</v>
      </c>
      <c r="S158" t="s">
        <v>46</v>
      </c>
    </row>
    <row r="159" spans="1:19" x14ac:dyDescent="0.3">
      <c r="A159">
        <v>156</v>
      </c>
      <c r="B159" t="s">
        <v>357</v>
      </c>
      <c r="C159" s="6">
        <v>45447</v>
      </c>
      <c r="D159" s="2" t="str">
        <f t="shared" si="4"/>
        <v>June</v>
      </c>
      <c r="E159" t="s">
        <v>358</v>
      </c>
      <c r="F159">
        <v>49</v>
      </c>
      <c r="G159" t="str">
        <f t="shared" si="5"/>
        <v>Adult</v>
      </c>
      <c r="H159" t="s">
        <v>42</v>
      </c>
      <c r="I159" t="s">
        <v>70</v>
      </c>
      <c r="J159" t="s">
        <v>24</v>
      </c>
      <c r="K159" t="s">
        <v>38</v>
      </c>
      <c r="L159" t="s">
        <v>135</v>
      </c>
      <c r="M159">
        <v>5</v>
      </c>
      <c r="N159">
        <v>13935</v>
      </c>
      <c r="O159">
        <v>69675</v>
      </c>
      <c r="P159" t="s">
        <v>27</v>
      </c>
      <c r="Q159">
        <v>5</v>
      </c>
      <c r="R159">
        <v>3</v>
      </c>
      <c r="S159" t="s">
        <v>28</v>
      </c>
    </row>
    <row r="160" spans="1:19" x14ac:dyDescent="0.3">
      <c r="A160">
        <v>157</v>
      </c>
      <c r="B160" t="s">
        <v>359</v>
      </c>
      <c r="C160" s="6">
        <v>45448</v>
      </c>
      <c r="D160" s="2" t="str">
        <f t="shared" si="4"/>
        <v>June</v>
      </c>
      <c r="E160" t="s">
        <v>343</v>
      </c>
      <c r="F160">
        <v>25</v>
      </c>
      <c r="G160" t="str">
        <f t="shared" si="5"/>
        <v>Teenager</v>
      </c>
      <c r="H160" t="s">
        <v>22</v>
      </c>
      <c r="I160" t="s">
        <v>80</v>
      </c>
      <c r="J160" t="s">
        <v>24</v>
      </c>
      <c r="K160" t="s">
        <v>25</v>
      </c>
      <c r="L160" t="s">
        <v>189</v>
      </c>
      <c r="M160">
        <v>2</v>
      </c>
      <c r="N160">
        <v>20739</v>
      </c>
      <c r="O160">
        <v>41478</v>
      </c>
      <c r="P160" t="s">
        <v>53</v>
      </c>
      <c r="Q160">
        <v>10</v>
      </c>
      <c r="R160">
        <v>4</v>
      </c>
      <c r="S160" t="s">
        <v>46</v>
      </c>
    </row>
    <row r="161" spans="1:19" x14ac:dyDescent="0.3">
      <c r="A161">
        <v>158</v>
      </c>
      <c r="B161" t="s">
        <v>360</v>
      </c>
      <c r="C161" s="6">
        <v>45449</v>
      </c>
      <c r="D161" s="2" t="str">
        <f t="shared" si="4"/>
        <v>June</v>
      </c>
      <c r="E161" t="s">
        <v>106</v>
      </c>
      <c r="F161">
        <v>48</v>
      </c>
      <c r="G161" t="str">
        <f t="shared" si="5"/>
        <v>Adult</v>
      </c>
      <c r="H161" t="s">
        <v>22</v>
      </c>
      <c r="I161" t="s">
        <v>23</v>
      </c>
      <c r="J161" t="s">
        <v>24</v>
      </c>
      <c r="K161" t="s">
        <v>44</v>
      </c>
      <c r="L161" t="s">
        <v>91</v>
      </c>
      <c r="M161">
        <v>3</v>
      </c>
      <c r="N161">
        <v>24515</v>
      </c>
      <c r="O161">
        <v>73545</v>
      </c>
      <c r="P161" t="s">
        <v>27</v>
      </c>
      <c r="Q161">
        <v>6</v>
      </c>
      <c r="R161">
        <v>2</v>
      </c>
      <c r="S161" t="s">
        <v>28</v>
      </c>
    </row>
    <row r="162" spans="1:19" x14ac:dyDescent="0.3">
      <c r="A162">
        <v>159</v>
      </c>
      <c r="B162" t="s">
        <v>361</v>
      </c>
      <c r="C162" s="6">
        <v>45450</v>
      </c>
      <c r="D162" s="2" t="str">
        <f t="shared" si="4"/>
        <v>June</v>
      </c>
      <c r="E162" t="s">
        <v>362</v>
      </c>
      <c r="F162">
        <v>59</v>
      </c>
      <c r="G162" t="str">
        <f t="shared" si="5"/>
        <v>Senior</v>
      </c>
      <c r="H162" t="s">
        <v>22</v>
      </c>
      <c r="I162" t="s">
        <v>80</v>
      </c>
      <c r="J162" t="s">
        <v>50</v>
      </c>
      <c r="K162" t="s">
        <v>38</v>
      </c>
      <c r="L162" t="s">
        <v>96</v>
      </c>
      <c r="M162">
        <v>5</v>
      </c>
      <c r="N162">
        <v>47792</v>
      </c>
      <c r="O162">
        <v>238960</v>
      </c>
      <c r="P162" t="s">
        <v>116</v>
      </c>
      <c r="Q162">
        <v>8</v>
      </c>
      <c r="R162">
        <v>3</v>
      </c>
      <c r="S162" t="s">
        <v>28</v>
      </c>
    </row>
    <row r="163" spans="1:19" x14ac:dyDescent="0.3">
      <c r="A163">
        <v>160</v>
      </c>
      <c r="B163" t="s">
        <v>363</v>
      </c>
      <c r="C163" s="6">
        <v>45451</v>
      </c>
      <c r="D163" s="2" t="str">
        <f t="shared" si="4"/>
        <v>June</v>
      </c>
      <c r="E163" t="s">
        <v>298</v>
      </c>
      <c r="F163">
        <v>57</v>
      </c>
      <c r="G163" t="str">
        <f t="shared" si="5"/>
        <v>Senior</v>
      </c>
      <c r="H163" t="s">
        <v>22</v>
      </c>
      <c r="I163" t="s">
        <v>49</v>
      </c>
      <c r="J163" t="s">
        <v>32</v>
      </c>
      <c r="K163" t="s">
        <v>51</v>
      </c>
      <c r="L163" t="s">
        <v>52</v>
      </c>
      <c r="M163">
        <v>1</v>
      </c>
      <c r="N163">
        <v>537</v>
      </c>
      <c r="O163">
        <v>537</v>
      </c>
      <c r="P163" t="s">
        <v>116</v>
      </c>
      <c r="Q163">
        <v>2</v>
      </c>
      <c r="R163">
        <v>5</v>
      </c>
      <c r="S163" t="s">
        <v>46</v>
      </c>
    </row>
    <row r="164" spans="1:19" x14ac:dyDescent="0.3">
      <c r="A164">
        <v>161</v>
      </c>
      <c r="B164" t="s">
        <v>364</v>
      </c>
      <c r="C164" s="6">
        <v>45452</v>
      </c>
      <c r="D164" s="2" t="str">
        <f t="shared" si="4"/>
        <v>June</v>
      </c>
      <c r="E164" t="s">
        <v>358</v>
      </c>
      <c r="F164">
        <v>36</v>
      </c>
      <c r="G164" t="str">
        <f t="shared" si="5"/>
        <v>Adult</v>
      </c>
      <c r="H164" t="s">
        <v>22</v>
      </c>
      <c r="I164" t="s">
        <v>43</v>
      </c>
      <c r="J164" t="s">
        <v>50</v>
      </c>
      <c r="K164" t="s">
        <v>33</v>
      </c>
      <c r="L164" t="s">
        <v>34</v>
      </c>
      <c r="M164">
        <v>8</v>
      </c>
      <c r="N164">
        <v>36327</v>
      </c>
      <c r="O164">
        <v>290616</v>
      </c>
      <c r="P164" t="s">
        <v>116</v>
      </c>
      <c r="Q164">
        <v>7</v>
      </c>
      <c r="R164">
        <v>2</v>
      </c>
      <c r="S164" t="s">
        <v>46</v>
      </c>
    </row>
    <row r="165" spans="1:19" x14ac:dyDescent="0.3">
      <c r="A165">
        <v>162</v>
      </c>
      <c r="B165" t="s">
        <v>365</v>
      </c>
      <c r="C165" s="6">
        <v>45453</v>
      </c>
      <c r="D165" s="2" t="str">
        <f t="shared" si="4"/>
        <v>June</v>
      </c>
      <c r="E165" t="s">
        <v>366</v>
      </c>
      <c r="F165">
        <v>49</v>
      </c>
      <c r="G165" t="str">
        <f t="shared" si="5"/>
        <v>Adult</v>
      </c>
      <c r="H165" t="s">
        <v>22</v>
      </c>
      <c r="I165" t="s">
        <v>49</v>
      </c>
      <c r="J165" t="s">
        <v>65</v>
      </c>
      <c r="K165" t="s">
        <v>38</v>
      </c>
      <c r="L165" t="s">
        <v>81</v>
      </c>
      <c r="M165">
        <v>5</v>
      </c>
      <c r="N165">
        <v>10107</v>
      </c>
      <c r="O165">
        <v>50535</v>
      </c>
      <c r="P165" t="s">
        <v>61</v>
      </c>
      <c r="Q165">
        <v>10</v>
      </c>
      <c r="R165">
        <v>1</v>
      </c>
      <c r="S165" t="s">
        <v>46</v>
      </c>
    </row>
    <row r="166" spans="1:19" x14ac:dyDescent="0.3">
      <c r="A166">
        <v>163</v>
      </c>
      <c r="B166" t="s">
        <v>367</v>
      </c>
      <c r="C166" s="6">
        <v>45454</v>
      </c>
      <c r="D166" s="2" t="str">
        <f t="shared" si="4"/>
        <v>June</v>
      </c>
      <c r="E166" t="s">
        <v>30</v>
      </c>
      <c r="F166">
        <v>41</v>
      </c>
      <c r="G166" t="str">
        <f t="shared" si="5"/>
        <v>Adult</v>
      </c>
      <c r="H166" t="s">
        <v>22</v>
      </c>
      <c r="I166" t="s">
        <v>23</v>
      </c>
      <c r="J166" t="s">
        <v>50</v>
      </c>
      <c r="K166" t="s">
        <v>38</v>
      </c>
      <c r="L166" t="s">
        <v>96</v>
      </c>
      <c r="M166">
        <v>3</v>
      </c>
      <c r="N166">
        <v>38841</v>
      </c>
      <c r="O166">
        <v>116523</v>
      </c>
      <c r="P166" t="s">
        <v>27</v>
      </c>
      <c r="Q166">
        <v>1</v>
      </c>
      <c r="R166">
        <v>3</v>
      </c>
      <c r="S166" t="s">
        <v>28</v>
      </c>
    </row>
    <row r="167" spans="1:19" x14ac:dyDescent="0.3">
      <c r="A167">
        <v>164</v>
      </c>
      <c r="B167" t="s">
        <v>368</v>
      </c>
      <c r="C167" s="6">
        <v>45455</v>
      </c>
      <c r="D167" s="2" t="str">
        <f t="shared" si="4"/>
        <v>June</v>
      </c>
      <c r="E167" t="s">
        <v>194</v>
      </c>
      <c r="F167">
        <v>49</v>
      </c>
      <c r="G167" t="str">
        <f t="shared" si="5"/>
        <v>Adult</v>
      </c>
      <c r="H167" t="s">
        <v>22</v>
      </c>
      <c r="I167" t="s">
        <v>120</v>
      </c>
      <c r="J167" t="s">
        <v>32</v>
      </c>
      <c r="K167" t="s">
        <v>33</v>
      </c>
      <c r="L167" t="s">
        <v>153</v>
      </c>
      <c r="M167">
        <v>8</v>
      </c>
      <c r="N167">
        <v>42818</v>
      </c>
      <c r="O167">
        <v>342544</v>
      </c>
      <c r="P167" t="s">
        <v>27</v>
      </c>
      <c r="Q167">
        <v>5</v>
      </c>
      <c r="R167">
        <v>4</v>
      </c>
      <c r="S167" t="s">
        <v>28</v>
      </c>
    </row>
    <row r="168" spans="1:19" x14ac:dyDescent="0.3">
      <c r="A168">
        <v>165</v>
      </c>
      <c r="B168" t="s">
        <v>369</v>
      </c>
      <c r="C168" s="6">
        <v>45456</v>
      </c>
      <c r="D168" s="2" t="str">
        <f t="shared" si="4"/>
        <v>June</v>
      </c>
      <c r="E168" t="s">
        <v>317</v>
      </c>
      <c r="F168">
        <v>53</v>
      </c>
      <c r="G168" t="str">
        <f t="shared" si="5"/>
        <v>Senior</v>
      </c>
      <c r="H168" t="s">
        <v>22</v>
      </c>
      <c r="I168" t="s">
        <v>70</v>
      </c>
      <c r="J168" t="s">
        <v>65</v>
      </c>
      <c r="K168" t="s">
        <v>33</v>
      </c>
      <c r="L168" t="s">
        <v>89</v>
      </c>
      <c r="M168">
        <v>7</v>
      </c>
      <c r="N168">
        <v>8812</v>
      </c>
      <c r="O168">
        <v>61684</v>
      </c>
      <c r="P168" t="s">
        <v>99</v>
      </c>
      <c r="Q168">
        <v>2</v>
      </c>
      <c r="R168">
        <v>1</v>
      </c>
      <c r="S168" t="s">
        <v>46</v>
      </c>
    </row>
    <row r="169" spans="1:19" x14ac:dyDescent="0.3">
      <c r="A169">
        <v>166</v>
      </c>
      <c r="B169" t="s">
        <v>370</v>
      </c>
      <c r="C169" s="6">
        <v>45457</v>
      </c>
      <c r="D169" s="2" t="str">
        <f t="shared" si="4"/>
        <v>June</v>
      </c>
      <c r="E169" t="s">
        <v>371</v>
      </c>
      <c r="F169">
        <v>20</v>
      </c>
      <c r="G169" t="str">
        <f t="shared" si="5"/>
        <v>Teenager</v>
      </c>
      <c r="H169" t="s">
        <v>42</v>
      </c>
      <c r="I169" t="s">
        <v>70</v>
      </c>
      <c r="J169" t="s">
        <v>50</v>
      </c>
      <c r="K169" t="s">
        <v>44</v>
      </c>
      <c r="L169" t="s">
        <v>224</v>
      </c>
      <c r="M169">
        <v>10</v>
      </c>
      <c r="N169">
        <v>12085</v>
      </c>
      <c r="O169">
        <v>120850</v>
      </c>
      <c r="P169" t="s">
        <v>27</v>
      </c>
      <c r="Q169">
        <v>3</v>
      </c>
      <c r="R169">
        <v>3</v>
      </c>
      <c r="S169" t="s">
        <v>28</v>
      </c>
    </row>
    <row r="170" spans="1:19" x14ac:dyDescent="0.3">
      <c r="A170">
        <v>167</v>
      </c>
      <c r="B170" t="s">
        <v>372</v>
      </c>
      <c r="C170" s="6">
        <v>45458</v>
      </c>
      <c r="D170" s="2" t="str">
        <f t="shared" si="4"/>
        <v>June</v>
      </c>
      <c r="E170" t="s">
        <v>373</v>
      </c>
      <c r="F170">
        <v>54</v>
      </c>
      <c r="G170" t="str">
        <f t="shared" si="5"/>
        <v>Senior</v>
      </c>
      <c r="H170" t="s">
        <v>42</v>
      </c>
      <c r="I170" t="s">
        <v>120</v>
      </c>
      <c r="J170" t="s">
        <v>50</v>
      </c>
      <c r="K170" t="s">
        <v>38</v>
      </c>
      <c r="L170" t="s">
        <v>39</v>
      </c>
      <c r="M170">
        <v>2</v>
      </c>
      <c r="N170">
        <v>12160</v>
      </c>
      <c r="O170">
        <v>24320</v>
      </c>
      <c r="P170" t="s">
        <v>99</v>
      </c>
      <c r="Q170">
        <v>3</v>
      </c>
      <c r="R170">
        <v>3</v>
      </c>
      <c r="S170" t="s">
        <v>46</v>
      </c>
    </row>
    <row r="171" spans="1:19" x14ac:dyDescent="0.3">
      <c r="A171">
        <v>168</v>
      </c>
      <c r="B171" t="s">
        <v>374</v>
      </c>
      <c r="C171" s="6">
        <v>45459</v>
      </c>
      <c r="D171" s="2" t="str">
        <f t="shared" si="4"/>
        <v>June</v>
      </c>
      <c r="E171" t="s">
        <v>362</v>
      </c>
      <c r="F171">
        <v>40</v>
      </c>
      <c r="G171" t="str">
        <f t="shared" si="5"/>
        <v>Adult</v>
      </c>
      <c r="H171" t="s">
        <v>22</v>
      </c>
      <c r="I171" t="s">
        <v>43</v>
      </c>
      <c r="J171" t="s">
        <v>32</v>
      </c>
      <c r="K171" t="s">
        <v>25</v>
      </c>
      <c r="L171" t="s">
        <v>124</v>
      </c>
      <c r="M171">
        <v>9</v>
      </c>
      <c r="N171">
        <v>23783</v>
      </c>
      <c r="O171">
        <v>214047</v>
      </c>
      <c r="P171" t="s">
        <v>27</v>
      </c>
      <c r="Q171">
        <v>5</v>
      </c>
      <c r="R171">
        <v>5</v>
      </c>
      <c r="S171" t="s">
        <v>46</v>
      </c>
    </row>
    <row r="172" spans="1:19" x14ac:dyDescent="0.3">
      <c r="A172">
        <v>169</v>
      </c>
      <c r="B172" t="s">
        <v>375</v>
      </c>
      <c r="C172" s="6">
        <v>45460</v>
      </c>
      <c r="D172" s="2" t="str">
        <f t="shared" si="4"/>
        <v>June</v>
      </c>
      <c r="E172" t="s">
        <v>376</v>
      </c>
      <c r="F172">
        <v>42</v>
      </c>
      <c r="G172" t="str">
        <f t="shared" si="5"/>
        <v>Adult</v>
      </c>
      <c r="H172" t="s">
        <v>22</v>
      </c>
      <c r="I172" t="s">
        <v>31</v>
      </c>
      <c r="J172" t="s">
        <v>24</v>
      </c>
      <c r="K172" t="s">
        <v>44</v>
      </c>
      <c r="L172" t="s">
        <v>178</v>
      </c>
      <c r="M172">
        <v>2</v>
      </c>
      <c r="N172">
        <v>43032</v>
      </c>
      <c r="O172">
        <v>86064</v>
      </c>
      <c r="P172" t="s">
        <v>99</v>
      </c>
      <c r="Q172">
        <v>1</v>
      </c>
      <c r="R172">
        <v>1</v>
      </c>
      <c r="S172" t="s">
        <v>28</v>
      </c>
    </row>
    <row r="173" spans="1:19" x14ac:dyDescent="0.3">
      <c r="A173">
        <v>170</v>
      </c>
      <c r="B173" t="s">
        <v>377</v>
      </c>
      <c r="C173" s="6">
        <v>45461</v>
      </c>
      <c r="D173" s="2" t="str">
        <f t="shared" si="4"/>
        <v>June</v>
      </c>
      <c r="E173" t="s">
        <v>378</v>
      </c>
      <c r="F173">
        <v>49</v>
      </c>
      <c r="G173" t="str">
        <f t="shared" si="5"/>
        <v>Adult</v>
      </c>
      <c r="H173" t="s">
        <v>22</v>
      </c>
      <c r="I173" t="s">
        <v>120</v>
      </c>
      <c r="J173" t="s">
        <v>65</v>
      </c>
      <c r="K173" t="s">
        <v>33</v>
      </c>
      <c r="L173" t="s">
        <v>160</v>
      </c>
      <c r="M173">
        <v>8</v>
      </c>
      <c r="N173">
        <v>43891</v>
      </c>
      <c r="O173">
        <v>351128</v>
      </c>
      <c r="P173" t="s">
        <v>61</v>
      </c>
      <c r="Q173">
        <v>7</v>
      </c>
      <c r="R173">
        <v>4</v>
      </c>
      <c r="S173" t="s">
        <v>28</v>
      </c>
    </row>
    <row r="174" spans="1:19" x14ac:dyDescent="0.3">
      <c r="A174">
        <v>171</v>
      </c>
      <c r="B174" t="s">
        <v>379</v>
      </c>
      <c r="C174" s="6">
        <v>45462</v>
      </c>
      <c r="D174" s="2" t="str">
        <f t="shared" si="4"/>
        <v>June</v>
      </c>
      <c r="E174" t="s">
        <v>380</v>
      </c>
      <c r="F174">
        <v>19</v>
      </c>
      <c r="G174" t="str">
        <f t="shared" si="5"/>
        <v>Teenager</v>
      </c>
      <c r="H174" t="s">
        <v>42</v>
      </c>
      <c r="I174" t="s">
        <v>31</v>
      </c>
      <c r="J174" t="s">
        <v>32</v>
      </c>
      <c r="K174" t="s">
        <v>25</v>
      </c>
      <c r="L174" t="s">
        <v>26</v>
      </c>
      <c r="M174">
        <v>2</v>
      </c>
      <c r="N174">
        <v>14418</v>
      </c>
      <c r="O174">
        <v>28836</v>
      </c>
      <c r="P174" t="s">
        <v>99</v>
      </c>
      <c r="Q174">
        <v>6</v>
      </c>
      <c r="R174">
        <v>2</v>
      </c>
      <c r="S174" t="s">
        <v>46</v>
      </c>
    </row>
    <row r="175" spans="1:19" x14ac:dyDescent="0.3">
      <c r="A175">
        <v>172</v>
      </c>
      <c r="B175" t="s">
        <v>381</v>
      </c>
      <c r="C175" s="6">
        <v>45463</v>
      </c>
      <c r="D175" s="2" t="str">
        <f t="shared" si="4"/>
        <v>June</v>
      </c>
      <c r="E175" t="s">
        <v>137</v>
      </c>
      <c r="F175">
        <v>54</v>
      </c>
      <c r="G175" t="str">
        <f t="shared" si="5"/>
        <v>Senior</v>
      </c>
      <c r="H175" t="s">
        <v>42</v>
      </c>
      <c r="I175" t="s">
        <v>80</v>
      </c>
      <c r="J175" t="s">
        <v>65</v>
      </c>
      <c r="K175" t="s">
        <v>51</v>
      </c>
      <c r="L175" t="s">
        <v>60</v>
      </c>
      <c r="M175">
        <v>10</v>
      </c>
      <c r="N175">
        <v>1293</v>
      </c>
      <c r="O175">
        <v>12930</v>
      </c>
      <c r="P175" t="s">
        <v>99</v>
      </c>
      <c r="Q175">
        <v>3</v>
      </c>
      <c r="R175">
        <v>3</v>
      </c>
      <c r="S175" t="s">
        <v>46</v>
      </c>
    </row>
    <row r="176" spans="1:19" x14ac:dyDescent="0.3">
      <c r="A176">
        <v>173</v>
      </c>
      <c r="B176" t="s">
        <v>382</v>
      </c>
      <c r="C176" s="6">
        <v>45464</v>
      </c>
      <c r="D176" s="2" t="str">
        <f t="shared" si="4"/>
        <v>June</v>
      </c>
      <c r="E176" t="s">
        <v>383</v>
      </c>
      <c r="F176">
        <v>32</v>
      </c>
      <c r="G176" t="str">
        <f t="shared" si="5"/>
        <v>Adult</v>
      </c>
      <c r="H176" t="s">
        <v>22</v>
      </c>
      <c r="I176" t="s">
        <v>102</v>
      </c>
      <c r="J176" t="s">
        <v>24</v>
      </c>
      <c r="K176" t="s">
        <v>44</v>
      </c>
      <c r="L176" t="s">
        <v>45</v>
      </c>
      <c r="M176">
        <v>5</v>
      </c>
      <c r="N176">
        <v>44809</v>
      </c>
      <c r="O176">
        <v>224045</v>
      </c>
      <c r="P176" t="s">
        <v>61</v>
      </c>
      <c r="Q176">
        <v>8</v>
      </c>
      <c r="R176">
        <v>1</v>
      </c>
      <c r="S176" t="s">
        <v>28</v>
      </c>
    </row>
    <row r="177" spans="1:19" x14ac:dyDescent="0.3">
      <c r="A177">
        <v>174</v>
      </c>
      <c r="B177" t="s">
        <v>384</v>
      </c>
      <c r="C177" s="6">
        <v>45465</v>
      </c>
      <c r="D177" s="2" t="str">
        <f t="shared" si="4"/>
        <v>June</v>
      </c>
      <c r="E177" t="s">
        <v>385</v>
      </c>
      <c r="F177">
        <v>37</v>
      </c>
      <c r="G177" t="str">
        <f t="shared" si="5"/>
        <v>Adult</v>
      </c>
      <c r="H177" t="s">
        <v>22</v>
      </c>
      <c r="I177" t="s">
        <v>70</v>
      </c>
      <c r="J177" t="s">
        <v>50</v>
      </c>
      <c r="K177" t="s">
        <v>38</v>
      </c>
      <c r="L177" t="s">
        <v>71</v>
      </c>
      <c r="M177">
        <v>9</v>
      </c>
      <c r="N177">
        <v>15987</v>
      </c>
      <c r="O177">
        <v>143883</v>
      </c>
      <c r="P177" t="s">
        <v>116</v>
      </c>
      <c r="Q177">
        <v>4</v>
      </c>
      <c r="R177">
        <v>2</v>
      </c>
      <c r="S177" t="s">
        <v>46</v>
      </c>
    </row>
    <row r="178" spans="1:19" x14ac:dyDescent="0.3">
      <c r="A178">
        <v>175</v>
      </c>
      <c r="B178" t="s">
        <v>386</v>
      </c>
      <c r="C178" s="6">
        <v>45466</v>
      </c>
      <c r="D178" s="2" t="str">
        <f t="shared" si="4"/>
        <v>June</v>
      </c>
      <c r="E178" t="s">
        <v>322</v>
      </c>
      <c r="F178">
        <v>33</v>
      </c>
      <c r="G178" t="str">
        <f t="shared" si="5"/>
        <v>Adult</v>
      </c>
      <c r="H178" t="s">
        <v>22</v>
      </c>
      <c r="I178" t="s">
        <v>64</v>
      </c>
      <c r="J178" t="s">
        <v>32</v>
      </c>
      <c r="K178" t="s">
        <v>51</v>
      </c>
      <c r="L178" t="s">
        <v>74</v>
      </c>
      <c r="M178">
        <v>3</v>
      </c>
      <c r="N178">
        <v>1569</v>
      </c>
      <c r="O178">
        <v>4707</v>
      </c>
      <c r="P178" t="s">
        <v>27</v>
      </c>
      <c r="Q178">
        <v>9</v>
      </c>
      <c r="R178">
        <v>1</v>
      </c>
      <c r="S178" t="s">
        <v>46</v>
      </c>
    </row>
    <row r="179" spans="1:19" x14ac:dyDescent="0.3">
      <c r="A179">
        <v>176</v>
      </c>
      <c r="B179" t="s">
        <v>387</v>
      </c>
      <c r="C179" s="6">
        <v>45467</v>
      </c>
      <c r="D179" s="2" t="str">
        <f t="shared" si="4"/>
        <v>June</v>
      </c>
      <c r="E179" t="s">
        <v>83</v>
      </c>
      <c r="F179">
        <v>34</v>
      </c>
      <c r="G179" t="str">
        <f t="shared" si="5"/>
        <v>Adult</v>
      </c>
      <c r="H179" t="s">
        <v>42</v>
      </c>
      <c r="I179" t="s">
        <v>49</v>
      </c>
      <c r="J179" t="s">
        <v>50</v>
      </c>
      <c r="K179" t="s">
        <v>25</v>
      </c>
      <c r="L179" t="s">
        <v>124</v>
      </c>
      <c r="M179">
        <v>3</v>
      </c>
      <c r="N179">
        <v>21343</v>
      </c>
      <c r="O179">
        <v>64029</v>
      </c>
      <c r="P179" t="s">
        <v>61</v>
      </c>
      <c r="Q179">
        <v>1</v>
      </c>
      <c r="R179">
        <v>5</v>
      </c>
      <c r="S179" t="s">
        <v>28</v>
      </c>
    </row>
    <row r="180" spans="1:19" x14ac:dyDescent="0.3">
      <c r="A180">
        <v>177</v>
      </c>
      <c r="B180" t="s">
        <v>388</v>
      </c>
      <c r="C180" s="6">
        <v>45468</v>
      </c>
      <c r="D180" s="2" t="str">
        <f t="shared" si="4"/>
        <v>June</v>
      </c>
      <c r="E180" t="s">
        <v>389</v>
      </c>
      <c r="F180">
        <v>19</v>
      </c>
      <c r="G180" t="str">
        <f t="shared" si="5"/>
        <v>Teenager</v>
      </c>
      <c r="H180" t="s">
        <v>42</v>
      </c>
      <c r="I180" t="s">
        <v>49</v>
      </c>
      <c r="J180" t="s">
        <v>65</v>
      </c>
      <c r="K180" t="s">
        <v>33</v>
      </c>
      <c r="L180" t="s">
        <v>173</v>
      </c>
      <c r="M180">
        <v>9</v>
      </c>
      <c r="N180">
        <v>18052</v>
      </c>
      <c r="O180">
        <v>162468</v>
      </c>
      <c r="P180" t="s">
        <v>61</v>
      </c>
      <c r="Q180">
        <v>8</v>
      </c>
      <c r="R180">
        <v>2</v>
      </c>
      <c r="S180" t="s">
        <v>46</v>
      </c>
    </row>
    <row r="181" spans="1:19" x14ac:dyDescent="0.3">
      <c r="A181">
        <v>178</v>
      </c>
      <c r="B181" t="s">
        <v>390</v>
      </c>
      <c r="C181" s="6">
        <v>45469</v>
      </c>
      <c r="D181" s="2" t="str">
        <f t="shared" si="4"/>
        <v>June</v>
      </c>
      <c r="E181" t="s">
        <v>391</v>
      </c>
      <c r="F181">
        <v>57</v>
      </c>
      <c r="G181" t="str">
        <f t="shared" si="5"/>
        <v>Senior</v>
      </c>
      <c r="H181" t="s">
        <v>22</v>
      </c>
      <c r="I181" t="s">
        <v>64</v>
      </c>
      <c r="J181" t="s">
        <v>50</v>
      </c>
      <c r="K181" t="s">
        <v>33</v>
      </c>
      <c r="L181" t="s">
        <v>173</v>
      </c>
      <c r="M181">
        <v>9</v>
      </c>
      <c r="N181">
        <v>576</v>
      </c>
      <c r="O181">
        <v>5184</v>
      </c>
      <c r="P181" t="s">
        <v>61</v>
      </c>
      <c r="Q181">
        <v>8</v>
      </c>
      <c r="R181">
        <v>2</v>
      </c>
      <c r="S181" t="s">
        <v>46</v>
      </c>
    </row>
    <row r="182" spans="1:19" x14ac:dyDescent="0.3">
      <c r="A182">
        <v>179</v>
      </c>
      <c r="B182" t="s">
        <v>392</v>
      </c>
      <c r="C182" s="6">
        <v>45470</v>
      </c>
      <c r="D182" s="2" t="str">
        <f t="shared" si="4"/>
        <v>June</v>
      </c>
      <c r="E182" t="s">
        <v>113</v>
      </c>
      <c r="F182">
        <v>49</v>
      </c>
      <c r="G182" t="str">
        <f t="shared" si="5"/>
        <v>Adult</v>
      </c>
      <c r="H182" t="s">
        <v>22</v>
      </c>
      <c r="I182" t="s">
        <v>80</v>
      </c>
      <c r="J182" t="s">
        <v>32</v>
      </c>
      <c r="K182" t="s">
        <v>44</v>
      </c>
      <c r="L182" t="s">
        <v>121</v>
      </c>
      <c r="M182">
        <v>5</v>
      </c>
      <c r="N182">
        <v>12884</v>
      </c>
      <c r="O182">
        <v>64420</v>
      </c>
      <c r="P182" t="s">
        <v>99</v>
      </c>
      <c r="Q182">
        <v>2</v>
      </c>
      <c r="R182">
        <v>1</v>
      </c>
      <c r="S182" t="s">
        <v>28</v>
      </c>
    </row>
    <row r="183" spans="1:19" x14ac:dyDescent="0.3">
      <c r="A183">
        <v>180</v>
      </c>
      <c r="B183" t="s">
        <v>393</v>
      </c>
      <c r="C183" s="6">
        <v>45471</v>
      </c>
      <c r="D183" s="2" t="str">
        <f t="shared" si="4"/>
        <v>June</v>
      </c>
      <c r="E183" t="s">
        <v>394</v>
      </c>
      <c r="F183">
        <v>35</v>
      </c>
      <c r="G183" t="str">
        <f t="shared" si="5"/>
        <v>Adult</v>
      </c>
      <c r="H183" t="s">
        <v>22</v>
      </c>
      <c r="I183" t="s">
        <v>64</v>
      </c>
      <c r="J183" t="s">
        <v>24</v>
      </c>
      <c r="K183" t="s">
        <v>44</v>
      </c>
      <c r="L183" t="s">
        <v>121</v>
      </c>
      <c r="M183">
        <v>10</v>
      </c>
      <c r="N183">
        <v>48628</v>
      </c>
      <c r="O183">
        <v>486280</v>
      </c>
      <c r="P183" t="s">
        <v>116</v>
      </c>
      <c r="Q183">
        <v>8</v>
      </c>
      <c r="R183">
        <v>3</v>
      </c>
      <c r="S183" t="s">
        <v>46</v>
      </c>
    </row>
    <row r="184" spans="1:19" x14ac:dyDescent="0.3">
      <c r="A184">
        <v>181</v>
      </c>
      <c r="B184" t="s">
        <v>395</v>
      </c>
      <c r="C184" s="6">
        <v>45472</v>
      </c>
      <c r="D184" s="2" t="str">
        <f t="shared" si="4"/>
        <v>June</v>
      </c>
      <c r="E184" t="s">
        <v>30</v>
      </c>
      <c r="F184">
        <v>33</v>
      </c>
      <c r="G184" t="str">
        <f t="shared" si="5"/>
        <v>Adult</v>
      </c>
      <c r="H184" t="s">
        <v>42</v>
      </c>
      <c r="I184" t="s">
        <v>64</v>
      </c>
      <c r="J184" t="s">
        <v>50</v>
      </c>
      <c r="K184" t="s">
        <v>51</v>
      </c>
      <c r="L184" t="s">
        <v>60</v>
      </c>
      <c r="M184">
        <v>8</v>
      </c>
      <c r="N184">
        <v>1807</v>
      </c>
      <c r="O184">
        <v>14456</v>
      </c>
      <c r="P184" t="s">
        <v>61</v>
      </c>
      <c r="Q184">
        <v>10</v>
      </c>
      <c r="R184">
        <v>1</v>
      </c>
      <c r="S184" t="s">
        <v>28</v>
      </c>
    </row>
    <row r="185" spans="1:19" x14ac:dyDescent="0.3">
      <c r="A185">
        <v>182</v>
      </c>
      <c r="B185" t="s">
        <v>396</v>
      </c>
      <c r="C185" s="6">
        <v>45473</v>
      </c>
      <c r="D185" s="2" t="str">
        <f t="shared" si="4"/>
        <v>June</v>
      </c>
      <c r="E185" t="s">
        <v>397</v>
      </c>
      <c r="F185">
        <v>55</v>
      </c>
      <c r="G185" t="str">
        <f t="shared" si="5"/>
        <v>Senior</v>
      </c>
      <c r="H185" t="s">
        <v>22</v>
      </c>
      <c r="I185" t="s">
        <v>120</v>
      </c>
      <c r="J185" t="s">
        <v>50</v>
      </c>
      <c r="K185" t="s">
        <v>38</v>
      </c>
      <c r="L185" t="s">
        <v>39</v>
      </c>
      <c r="M185">
        <v>1</v>
      </c>
      <c r="N185">
        <v>48229</v>
      </c>
      <c r="O185">
        <v>48229</v>
      </c>
      <c r="P185" t="s">
        <v>116</v>
      </c>
      <c r="Q185">
        <v>4</v>
      </c>
      <c r="R185">
        <v>1</v>
      </c>
      <c r="S185" t="s">
        <v>46</v>
      </c>
    </row>
    <row r="186" spans="1:19" x14ac:dyDescent="0.3">
      <c r="A186">
        <v>183</v>
      </c>
      <c r="B186" t="s">
        <v>398</v>
      </c>
      <c r="C186" s="6">
        <v>45474</v>
      </c>
      <c r="D186" s="2" t="str">
        <f t="shared" si="4"/>
        <v>July</v>
      </c>
      <c r="E186" t="s">
        <v>399</v>
      </c>
      <c r="F186">
        <v>48</v>
      </c>
      <c r="G186" t="str">
        <f t="shared" si="5"/>
        <v>Adult</v>
      </c>
      <c r="H186" t="s">
        <v>22</v>
      </c>
      <c r="I186" t="s">
        <v>70</v>
      </c>
      <c r="J186" t="s">
        <v>50</v>
      </c>
      <c r="K186" t="s">
        <v>33</v>
      </c>
      <c r="L186" t="s">
        <v>173</v>
      </c>
      <c r="M186">
        <v>3</v>
      </c>
      <c r="N186">
        <v>10933</v>
      </c>
      <c r="O186">
        <v>32799</v>
      </c>
      <c r="P186" t="s">
        <v>116</v>
      </c>
      <c r="Q186">
        <v>4</v>
      </c>
      <c r="R186">
        <v>1</v>
      </c>
      <c r="S186" t="s">
        <v>28</v>
      </c>
    </row>
    <row r="187" spans="1:19" x14ac:dyDescent="0.3">
      <c r="A187">
        <v>184</v>
      </c>
      <c r="B187" t="s">
        <v>400</v>
      </c>
      <c r="C187" s="6">
        <v>45475</v>
      </c>
      <c r="D187" s="2" t="str">
        <f t="shared" si="4"/>
        <v>July</v>
      </c>
      <c r="E187" t="s">
        <v>352</v>
      </c>
      <c r="F187">
        <v>59</v>
      </c>
      <c r="G187" t="str">
        <f t="shared" si="5"/>
        <v>Senior</v>
      </c>
      <c r="H187" t="s">
        <v>22</v>
      </c>
      <c r="I187" t="s">
        <v>80</v>
      </c>
      <c r="J187" t="s">
        <v>50</v>
      </c>
      <c r="K187" t="s">
        <v>44</v>
      </c>
      <c r="L187" t="s">
        <v>121</v>
      </c>
      <c r="M187">
        <v>8</v>
      </c>
      <c r="N187">
        <v>33585</v>
      </c>
      <c r="O187">
        <v>268680</v>
      </c>
      <c r="P187" t="s">
        <v>27</v>
      </c>
      <c r="Q187">
        <v>9</v>
      </c>
      <c r="R187">
        <v>4</v>
      </c>
      <c r="S187" t="s">
        <v>28</v>
      </c>
    </row>
    <row r="188" spans="1:19" x14ac:dyDescent="0.3">
      <c r="A188">
        <v>185</v>
      </c>
      <c r="B188" t="s">
        <v>401</v>
      </c>
      <c r="C188" s="6">
        <v>45476</v>
      </c>
      <c r="D188" s="2" t="str">
        <f t="shared" si="4"/>
        <v>July</v>
      </c>
      <c r="E188" t="s">
        <v>402</v>
      </c>
      <c r="F188">
        <v>46</v>
      </c>
      <c r="G188" t="str">
        <f t="shared" si="5"/>
        <v>Adult</v>
      </c>
      <c r="H188" t="s">
        <v>22</v>
      </c>
      <c r="I188" t="s">
        <v>102</v>
      </c>
      <c r="J188" t="s">
        <v>24</v>
      </c>
      <c r="K188" t="s">
        <v>33</v>
      </c>
      <c r="L188" t="s">
        <v>89</v>
      </c>
      <c r="M188">
        <v>10</v>
      </c>
      <c r="N188">
        <v>22244</v>
      </c>
      <c r="O188">
        <v>222440</v>
      </c>
      <c r="P188" t="s">
        <v>27</v>
      </c>
      <c r="Q188">
        <v>8</v>
      </c>
      <c r="R188">
        <v>4</v>
      </c>
      <c r="S188" t="s">
        <v>28</v>
      </c>
    </row>
    <row r="189" spans="1:19" x14ac:dyDescent="0.3">
      <c r="A189">
        <v>186</v>
      </c>
      <c r="B189" t="s">
        <v>403</v>
      </c>
      <c r="C189" s="6">
        <v>45477</v>
      </c>
      <c r="D189" s="2" t="str">
        <f t="shared" si="4"/>
        <v>July</v>
      </c>
      <c r="E189" t="s">
        <v>199</v>
      </c>
      <c r="F189">
        <v>40</v>
      </c>
      <c r="G189" t="str">
        <f t="shared" si="5"/>
        <v>Adult</v>
      </c>
      <c r="H189" t="s">
        <v>22</v>
      </c>
      <c r="I189" t="s">
        <v>70</v>
      </c>
      <c r="J189" t="s">
        <v>65</v>
      </c>
      <c r="K189" t="s">
        <v>33</v>
      </c>
      <c r="L189" t="s">
        <v>34</v>
      </c>
      <c r="M189">
        <v>9</v>
      </c>
      <c r="N189">
        <v>27795</v>
      </c>
      <c r="O189">
        <v>250155</v>
      </c>
      <c r="P189" t="s">
        <v>116</v>
      </c>
      <c r="Q189">
        <v>4</v>
      </c>
      <c r="R189">
        <v>2</v>
      </c>
      <c r="S189" t="s">
        <v>46</v>
      </c>
    </row>
    <row r="190" spans="1:19" x14ac:dyDescent="0.3">
      <c r="A190">
        <v>187</v>
      </c>
      <c r="B190" t="s">
        <v>404</v>
      </c>
      <c r="C190" s="6">
        <v>45478</v>
      </c>
      <c r="D190" s="2" t="str">
        <f t="shared" si="4"/>
        <v>July</v>
      </c>
      <c r="E190" t="s">
        <v>405</v>
      </c>
      <c r="F190">
        <v>48</v>
      </c>
      <c r="G190" t="str">
        <f t="shared" si="5"/>
        <v>Adult</v>
      </c>
      <c r="H190" t="s">
        <v>42</v>
      </c>
      <c r="I190" t="s">
        <v>80</v>
      </c>
      <c r="J190" t="s">
        <v>50</v>
      </c>
      <c r="K190" t="s">
        <v>44</v>
      </c>
      <c r="L190" t="s">
        <v>178</v>
      </c>
      <c r="M190">
        <v>2</v>
      </c>
      <c r="N190">
        <v>1445</v>
      </c>
      <c r="O190">
        <v>2890</v>
      </c>
      <c r="P190" t="s">
        <v>53</v>
      </c>
      <c r="Q190">
        <v>4</v>
      </c>
      <c r="R190">
        <v>2</v>
      </c>
      <c r="S190" t="s">
        <v>28</v>
      </c>
    </row>
    <row r="191" spans="1:19" x14ac:dyDescent="0.3">
      <c r="A191">
        <v>188</v>
      </c>
      <c r="B191" t="s">
        <v>406</v>
      </c>
      <c r="C191" s="6">
        <v>45479</v>
      </c>
      <c r="D191" s="2" t="str">
        <f t="shared" si="4"/>
        <v>July</v>
      </c>
      <c r="E191" t="s">
        <v>407</v>
      </c>
      <c r="F191">
        <v>55</v>
      </c>
      <c r="G191" t="str">
        <f t="shared" si="5"/>
        <v>Senior</v>
      </c>
      <c r="H191" t="s">
        <v>42</v>
      </c>
      <c r="I191" t="s">
        <v>102</v>
      </c>
      <c r="J191" t="s">
        <v>24</v>
      </c>
      <c r="K191" t="s">
        <v>44</v>
      </c>
      <c r="L191" t="s">
        <v>121</v>
      </c>
      <c r="M191">
        <v>4</v>
      </c>
      <c r="N191">
        <v>3640</v>
      </c>
      <c r="O191">
        <v>14560</v>
      </c>
      <c r="P191" t="s">
        <v>99</v>
      </c>
      <c r="Q191">
        <v>7</v>
      </c>
      <c r="R191">
        <v>3</v>
      </c>
      <c r="S191" t="s">
        <v>28</v>
      </c>
    </row>
    <row r="192" spans="1:19" x14ac:dyDescent="0.3">
      <c r="A192">
        <v>189</v>
      </c>
      <c r="B192" t="s">
        <v>408</v>
      </c>
      <c r="C192" s="6">
        <v>45480</v>
      </c>
      <c r="D192" s="2" t="str">
        <f t="shared" si="4"/>
        <v>July</v>
      </c>
      <c r="E192" t="s">
        <v>409</v>
      </c>
      <c r="F192">
        <v>44</v>
      </c>
      <c r="G192" t="str">
        <f t="shared" si="5"/>
        <v>Adult</v>
      </c>
      <c r="H192" t="s">
        <v>22</v>
      </c>
      <c r="I192" t="s">
        <v>70</v>
      </c>
      <c r="J192" t="s">
        <v>65</v>
      </c>
      <c r="K192" t="s">
        <v>25</v>
      </c>
      <c r="L192" t="s">
        <v>124</v>
      </c>
      <c r="M192">
        <v>8</v>
      </c>
      <c r="N192">
        <v>21999</v>
      </c>
      <c r="O192">
        <v>175992</v>
      </c>
      <c r="P192" t="s">
        <v>116</v>
      </c>
      <c r="Q192">
        <v>6</v>
      </c>
      <c r="R192">
        <v>1</v>
      </c>
      <c r="S192" t="s">
        <v>46</v>
      </c>
    </row>
    <row r="193" spans="1:19" x14ac:dyDescent="0.3">
      <c r="A193">
        <v>190</v>
      </c>
      <c r="B193" t="s">
        <v>410</v>
      </c>
      <c r="C193" s="6">
        <v>45481</v>
      </c>
      <c r="D193" s="2" t="str">
        <f t="shared" si="4"/>
        <v>July</v>
      </c>
      <c r="E193" t="s">
        <v>271</v>
      </c>
      <c r="F193">
        <v>26</v>
      </c>
      <c r="G193" t="str">
        <f t="shared" si="5"/>
        <v>Teenager</v>
      </c>
      <c r="H193" t="s">
        <v>22</v>
      </c>
      <c r="I193" t="s">
        <v>120</v>
      </c>
      <c r="J193" t="s">
        <v>50</v>
      </c>
      <c r="K193" t="s">
        <v>44</v>
      </c>
      <c r="L193" t="s">
        <v>224</v>
      </c>
      <c r="M193">
        <v>5</v>
      </c>
      <c r="N193">
        <v>38451</v>
      </c>
      <c r="O193">
        <v>192255</v>
      </c>
      <c r="P193" t="s">
        <v>61</v>
      </c>
      <c r="Q193">
        <v>3</v>
      </c>
      <c r="R193">
        <v>2</v>
      </c>
      <c r="S193" t="s">
        <v>28</v>
      </c>
    </row>
    <row r="194" spans="1:19" x14ac:dyDescent="0.3">
      <c r="A194">
        <v>191</v>
      </c>
      <c r="B194" t="s">
        <v>411</v>
      </c>
      <c r="C194" s="6">
        <v>45482</v>
      </c>
      <c r="D194" s="2" t="str">
        <f t="shared" si="4"/>
        <v>July</v>
      </c>
      <c r="E194" t="s">
        <v>412</v>
      </c>
      <c r="F194">
        <v>46</v>
      </c>
      <c r="G194" t="str">
        <f t="shared" si="5"/>
        <v>Adult</v>
      </c>
      <c r="H194" t="s">
        <v>42</v>
      </c>
      <c r="I194" t="s">
        <v>23</v>
      </c>
      <c r="J194" t="s">
        <v>65</v>
      </c>
      <c r="K194" t="s">
        <v>33</v>
      </c>
      <c r="L194" t="s">
        <v>34</v>
      </c>
      <c r="M194">
        <v>4</v>
      </c>
      <c r="N194">
        <v>3861</v>
      </c>
      <c r="O194">
        <v>15444</v>
      </c>
      <c r="P194" t="s">
        <v>61</v>
      </c>
      <c r="Q194">
        <v>5</v>
      </c>
      <c r="R194">
        <v>5</v>
      </c>
      <c r="S194" t="s">
        <v>46</v>
      </c>
    </row>
    <row r="195" spans="1:19" x14ac:dyDescent="0.3">
      <c r="A195">
        <v>192</v>
      </c>
      <c r="B195" t="s">
        <v>413</v>
      </c>
      <c r="C195" s="6">
        <v>45483</v>
      </c>
      <c r="D195" s="2" t="str">
        <f t="shared" si="4"/>
        <v>July</v>
      </c>
      <c r="E195" t="s">
        <v>414</v>
      </c>
      <c r="F195">
        <v>25</v>
      </c>
      <c r="G195" t="str">
        <f t="shared" si="5"/>
        <v>Teenager</v>
      </c>
      <c r="H195" t="s">
        <v>42</v>
      </c>
      <c r="I195" t="s">
        <v>49</v>
      </c>
      <c r="J195" t="s">
        <v>32</v>
      </c>
      <c r="K195" t="s">
        <v>44</v>
      </c>
      <c r="L195" t="s">
        <v>91</v>
      </c>
      <c r="M195">
        <v>8</v>
      </c>
      <c r="N195">
        <v>43993</v>
      </c>
      <c r="O195">
        <v>351944</v>
      </c>
      <c r="P195" t="s">
        <v>99</v>
      </c>
      <c r="Q195">
        <v>9</v>
      </c>
      <c r="R195">
        <v>5</v>
      </c>
      <c r="S195" t="s">
        <v>46</v>
      </c>
    </row>
    <row r="196" spans="1:19" x14ac:dyDescent="0.3">
      <c r="A196">
        <v>193</v>
      </c>
      <c r="B196" t="s">
        <v>415</v>
      </c>
      <c r="C196" s="6">
        <v>45484</v>
      </c>
      <c r="D196" s="2" t="str">
        <f t="shared" ref="D196:D259" si="6">TEXT(C196,"mmmm")</f>
        <v>July</v>
      </c>
      <c r="E196" t="s">
        <v>416</v>
      </c>
      <c r="F196">
        <v>21</v>
      </c>
      <c r="G196" t="str">
        <f t="shared" ref="G196:G259" si="7">IF(F196&gt;=50,"Senior",IF(F196&gt;=30,"Adult","Teenager"))</f>
        <v>Teenager</v>
      </c>
      <c r="H196" t="s">
        <v>42</v>
      </c>
      <c r="I196" t="s">
        <v>23</v>
      </c>
      <c r="J196" t="s">
        <v>65</v>
      </c>
      <c r="K196" t="s">
        <v>44</v>
      </c>
      <c r="L196" t="s">
        <v>91</v>
      </c>
      <c r="M196">
        <v>3</v>
      </c>
      <c r="N196">
        <v>27675</v>
      </c>
      <c r="O196">
        <v>83025</v>
      </c>
      <c r="P196" t="s">
        <v>116</v>
      </c>
      <c r="Q196">
        <v>3</v>
      </c>
      <c r="R196">
        <v>5</v>
      </c>
      <c r="S196" t="s">
        <v>46</v>
      </c>
    </row>
    <row r="197" spans="1:19" x14ac:dyDescent="0.3">
      <c r="A197">
        <v>194</v>
      </c>
      <c r="B197" t="s">
        <v>417</v>
      </c>
      <c r="C197" s="6">
        <v>45485</v>
      </c>
      <c r="D197" s="2" t="str">
        <f t="shared" si="6"/>
        <v>July</v>
      </c>
      <c r="E197" t="s">
        <v>418</v>
      </c>
      <c r="F197">
        <v>43</v>
      </c>
      <c r="G197" t="str">
        <f t="shared" si="7"/>
        <v>Adult</v>
      </c>
      <c r="H197" t="s">
        <v>42</v>
      </c>
      <c r="I197" t="s">
        <v>43</v>
      </c>
      <c r="J197" t="s">
        <v>65</v>
      </c>
      <c r="K197" t="s">
        <v>25</v>
      </c>
      <c r="L197" t="s">
        <v>124</v>
      </c>
      <c r="M197">
        <v>8</v>
      </c>
      <c r="N197">
        <v>17801</v>
      </c>
      <c r="O197">
        <v>142408</v>
      </c>
      <c r="P197" t="s">
        <v>53</v>
      </c>
      <c r="Q197">
        <v>1</v>
      </c>
      <c r="R197">
        <v>3</v>
      </c>
      <c r="S197" t="s">
        <v>28</v>
      </c>
    </row>
    <row r="198" spans="1:19" x14ac:dyDescent="0.3">
      <c r="A198">
        <v>195</v>
      </c>
      <c r="B198" t="s">
        <v>419</v>
      </c>
      <c r="C198" s="6">
        <v>45486</v>
      </c>
      <c r="D198" s="2" t="str">
        <f t="shared" si="6"/>
        <v>July</v>
      </c>
      <c r="E198" t="s">
        <v>168</v>
      </c>
      <c r="F198">
        <v>48</v>
      </c>
      <c r="G198" t="str">
        <f t="shared" si="7"/>
        <v>Adult</v>
      </c>
      <c r="H198" t="s">
        <v>22</v>
      </c>
      <c r="I198" t="s">
        <v>37</v>
      </c>
      <c r="J198" t="s">
        <v>50</v>
      </c>
      <c r="K198" t="s">
        <v>38</v>
      </c>
      <c r="L198" t="s">
        <v>39</v>
      </c>
      <c r="M198">
        <v>7</v>
      </c>
      <c r="N198">
        <v>42064</v>
      </c>
      <c r="O198">
        <v>294448</v>
      </c>
      <c r="P198" t="s">
        <v>53</v>
      </c>
      <c r="Q198">
        <v>7</v>
      </c>
      <c r="R198">
        <v>2</v>
      </c>
      <c r="S198" t="s">
        <v>28</v>
      </c>
    </row>
    <row r="199" spans="1:19" x14ac:dyDescent="0.3">
      <c r="A199">
        <v>196</v>
      </c>
      <c r="B199" t="s">
        <v>420</v>
      </c>
      <c r="C199" s="6">
        <v>45487</v>
      </c>
      <c r="D199" s="2" t="str">
        <f t="shared" si="6"/>
        <v>July</v>
      </c>
      <c r="E199" t="s">
        <v>421</v>
      </c>
      <c r="F199">
        <v>55</v>
      </c>
      <c r="G199" t="str">
        <f t="shared" si="7"/>
        <v>Senior</v>
      </c>
      <c r="H199" t="s">
        <v>42</v>
      </c>
      <c r="I199" t="s">
        <v>23</v>
      </c>
      <c r="J199" t="s">
        <v>32</v>
      </c>
      <c r="K199" t="s">
        <v>38</v>
      </c>
      <c r="L199" t="s">
        <v>71</v>
      </c>
      <c r="M199">
        <v>6</v>
      </c>
      <c r="N199">
        <v>16500</v>
      </c>
      <c r="O199">
        <v>99000</v>
      </c>
      <c r="P199" t="s">
        <v>27</v>
      </c>
      <c r="Q199">
        <v>7</v>
      </c>
      <c r="R199">
        <v>4</v>
      </c>
      <c r="S199" t="s">
        <v>46</v>
      </c>
    </row>
    <row r="200" spans="1:19" x14ac:dyDescent="0.3">
      <c r="A200">
        <v>197</v>
      </c>
      <c r="B200" t="s">
        <v>422</v>
      </c>
      <c r="C200" s="6">
        <v>45488</v>
      </c>
      <c r="D200" s="2" t="str">
        <f t="shared" si="6"/>
        <v>July</v>
      </c>
      <c r="E200" t="s">
        <v>256</v>
      </c>
      <c r="F200">
        <v>25</v>
      </c>
      <c r="G200" t="str">
        <f t="shared" si="7"/>
        <v>Teenager</v>
      </c>
      <c r="H200" t="s">
        <v>22</v>
      </c>
      <c r="I200" t="s">
        <v>37</v>
      </c>
      <c r="J200" t="s">
        <v>65</v>
      </c>
      <c r="K200" t="s">
        <v>33</v>
      </c>
      <c r="L200" t="s">
        <v>89</v>
      </c>
      <c r="M200">
        <v>2</v>
      </c>
      <c r="N200">
        <v>22256</v>
      </c>
      <c r="O200">
        <v>44512</v>
      </c>
      <c r="P200" t="s">
        <v>53</v>
      </c>
      <c r="Q200">
        <v>6</v>
      </c>
      <c r="R200">
        <v>2</v>
      </c>
      <c r="S200" t="s">
        <v>46</v>
      </c>
    </row>
    <row r="201" spans="1:19" x14ac:dyDescent="0.3">
      <c r="A201">
        <v>198</v>
      </c>
      <c r="B201" t="s">
        <v>423</v>
      </c>
      <c r="C201" s="6">
        <v>45489</v>
      </c>
      <c r="D201" s="2" t="str">
        <f t="shared" si="6"/>
        <v>July</v>
      </c>
      <c r="E201" t="s">
        <v>166</v>
      </c>
      <c r="F201">
        <v>20</v>
      </c>
      <c r="G201" t="str">
        <f t="shared" si="7"/>
        <v>Teenager</v>
      </c>
      <c r="H201" t="s">
        <v>42</v>
      </c>
      <c r="I201" t="s">
        <v>64</v>
      </c>
      <c r="J201" t="s">
        <v>65</v>
      </c>
      <c r="K201" t="s">
        <v>51</v>
      </c>
      <c r="L201" t="s">
        <v>74</v>
      </c>
      <c r="M201">
        <v>1</v>
      </c>
      <c r="N201">
        <v>273</v>
      </c>
      <c r="O201">
        <v>273</v>
      </c>
      <c r="P201" t="s">
        <v>27</v>
      </c>
      <c r="Q201">
        <v>3</v>
      </c>
      <c r="R201">
        <v>2</v>
      </c>
      <c r="S201" t="s">
        <v>28</v>
      </c>
    </row>
    <row r="202" spans="1:19" x14ac:dyDescent="0.3">
      <c r="A202">
        <v>199</v>
      </c>
      <c r="B202" t="s">
        <v>424</v>
      </c>
      <c r="C202" s="6">
        <v>45490</v>
      </c>
      <c r="D202" s="2" t="str">
        <f t="shared" si="6"/>
        <v>July</v>
      </c>
      <c r="E202" t="s">
        <v>298</v>
      </c>
      <c r="F202">
        <v>25</v>
      </c>
      <c r="G202" t="str">
        <f t="shared" si="7"/>
        <v>Teenager</v>
      </c>
      <c r="H202" t="s">
        <v>22</v>
      </c>
      <c r="I202" t="s">
        <v>80</v>
      </c>
      <c r="J202" t="s">
        <v>50</v>
      </c>
      <c r="K202" t="s">
        <v>25</v>
      </c>
      <c r="L202" t="s">
        <v>94</v>
      </c>
      <c r="M202">
        <v>1</v>
      </c>
      <c r="N202">
        <v>6727</v>
      </c>
      <c r="O202">
        <v>6727</v>
      </c>
      <c r="P202" t="s">
        <v>99</v>
      </c>
      <c r="Q202">
        <v>2</v>
      </c>
      <c r="R202">
        <v>4</v>
      </c>
      <c r="S202" t="s">
        <v>46</v>
      </c>
    </row>
    <row r="203" spans="1:19" x14ac:dyDescent="0.3">
      <c r="A203">
        <v>200</v>
      </c>
      <c r="B203" t="s">
        <v>425</v>
      </c>
      <c r="C203" s="6">
        <v>45491</v>
      </c>
      <c r="D203" s="2" t="str">
        <f t="shared" si="6"/>
        <v>July</v>
      </c>
      <c r="E203" t="s">
        <v>426</v>
      </c>
      <c r="F203">
        <v>48</v>
      </c>
      <c r="G203" t="str">
        <f t="shared" si="7"/>
        <v>Adult</v>
      </c>
      <c r="H203" t="s">
        <v>22</v>
      </c>
      <c r="I203" t="s">
        <v>23</v>
      </c>
      <c r="J203" t="s">
        <v>65</v>
      </c>
      <c r="K203" t="s">
        <v>44</v>
      </c>
      <c r="L203" t="s">
        <v>178</v>
      </c>
      <c r="M203">
        <v>6</v>
      </c>
      <c r="N203">
        <v>33448</v>
      </c>
      <c r="O203">
        <v>200688</v>
      </c>
      <c r="P203" t="s">
        <v>99</v>
      </c>
      <c r="Q203">
        <v>5</v>
      </c>
      <c r="R203">
        <v>4</v>
      </c>
      <c r="S203" t="s">
        <v>28</v>
      </c>
    </row>
    <row r="204" spans="1:19" x14ac:dyDescent="0.3">
      <c r="A204">
        <v>201</v>
      </c>
      <c r="B204" t="s">
        <v>427</v>
      </c>
      <c r="C204" s="6">
        <v>45492</v>
      </c>
      <c r="D204" s="2" t="str">
        <f t="shared" si="6"/>
        <v>July</v>
      </c>
      <c r="E204" t="s">
        <v>428</v>
      </c>
      <c r="F204">
        <v>44</v>
      </c>
      <c r="G204" t="str">
        <f t="shared" si="7"/>
        <v>Adult</v>
      </c>
      <c r="H204" t="s">
        <v>22</v>
      </c>
      <c r="I204" t="s">
        <v>64</v>
      </c>
      <c r="J204" t="s">
        <v>32</v>
      </c>
      <c r="K204" t="s">
        <v>44</v>
      </c>
      <c r="L204" t="s">
        <v>121</v>
      </c>
      <c r="M204">
        <v>9</v>
      </c>
      <c r="N204">
        <v>21502</v>
      </c>
      <c r="O204">
        <v>193518</v>
      </c>
      <c r="P204" t="s">
        <v>27</v>
      </c>
      <c r="Q204">
        <v>9</v>
      </c>
      <c r="R204">
        <v>4</v>
      </c>
      <c r="S204" t="s">
        <v>28</v>
      </c>
    </row>
    <row r="205" spans="1:19" x14ac:dyDescent="0.3">
      <c r="A205">
        <v>202</v>
      </c>
      <c r="B205" t="s">
        <v>429</v>
      </c>
      <c r="C205" s="6">
        <v>45493</v>
      </c>
      <c r="D205" s="2" t="str">
        <f t="shared" si="6"/>
        <v>July</v>
      </c>
      <c r="E205" t="s">
        <v>430</v>
      </c>
      <c r="F205">
        <v>54</v>
      </c>
      <c r="G205" t="str">
        <f t="shared" si="7"/>
        <v>Senior</v>
      </c>
      <c r="H205" t="s">
        <v>42</v>
      </c>
      <c r="I205" t="s">
        <v>31</v>
      </c>
      <c r="J205" t="s">
        <v>50</v>
      </c>
      <c r="K205" t="s">
        <v>33</v>
      </c>
      <c r="L205" t="s">
        <v>173</v>
      </c>
      <c r="M205">
        <v>7</v>
      </c>
      <c r="N205">
        <v>47894</v>
      </c>
      <c r="O205">
        <v>335258</v>
      </c>
      <c r="P205" t="s">
        <v>99</v>
      </c>
      <c r="Q205">
        <v>9</v>
      </c>
      <c r="R205">
        <v>2</v>
      </c>
      <c r="S205" t="s">
        <v>46</v>
      </c>
    </row>
    <row r="206" spans="1:19" x14ac:dyDescent="0.3">
      <c r="A206">
        <v>203</v>
      </c>
      <c r="B206" t="s">
        <v>431</v>
      </c>
      <c r="C206" s="6">
        <v>45494</v>
      </c>
      <c r="D206" s="2" t="str">
        <f t="shared" si="6"/>
        <v>July</v>
      </c>
      <c r="E206" t="s">
        <v>55</v>
      </c>
      <c r="F206">
        <v>55</v>
      </c>
      <c r="G206" t="str">
        <f t="shared" si="7"/>
        <v>Senior</v>
      </c>
      <c r="H206" t="s">
        <v>22</v>
      </c>
      <c r="I206" t="s">
        <v>80</v>
      </c>
      <c r="J206" t="s">
        <v>50</v>
      </c>
      <c r="K206" t="s">
        <v>51</v>
      </c>
      <c r="L206" t="s">
        <v>52</v>
      </c>
      <c r="M206">
        <v>3</v>
      </c>
      <c r="N206">
        <v>1091</v>
      </c>
      <c r="O206">
        <v>3273</v>
      </c>
      <c r="P206" t="s">
        <v>61</v>
      </c>
      <c r="Q206">
        <v>5</v>
      </c>
      <c r="R206">
        <v>1</v>
      </c>
      <c r="S206" t="s">
        <v>46</v>
      </c>
    </row>
    <row r="207" spans="1:19" x14ac:dyDescent="0.3">
      <c r="A207">
        <v>204</v>
      </c>
      <c r="B207" t="s">
        <v>432</v>
      </c>
      <c r="C207" s="6">
        <v>45495</v>
      </c>
      <c r="D207" s="2" t="str">
        <f t="shared" si="6"/>
        <v>July</v>
      </c>
      <c r="E207" t="s">
        <v>221</v>
      </c>
      <c r="F207">
        <v>18</v>
      </c>
      <c r="G207" t="str">
        <f t="shared" si="7"/>
        <v>Teenager</v>
      </c>
      <c r="H207" t="s">
        <v>42</v>
      </c>
      <c r="I207" t="s">
        <v>64</v>
      </c>
      <c r="J207" t="s">
        <v>65</v>
      </c>
      <c r="K207" t="s">
        <v>33</v>
      </c>
      <c r="L207" t="s">
        <v>89</v>
      </c>
      <c r="M207">
        <v>1</v>
      </c>
      <c r="N207">
        <v>28664</v>
      </c>
      <c r="O207">
        <v>28664</v>
      </c>
      <c r="P207" t="s">
        <v>27</v>
      </c>
      <c r="Q207">
        <v>5</v>
      </c>
      <c r="R207">
        <v>3</v>
      </c>
      <c r="S207" t="s">
        <v>28</v>
      </c>
    </row>
    <row r="208" spans="1:19" x14ac:dyDescent="0.3">
      <c r="A208">
        <v>205</v>
      </c>
      <c r="B208" t="s">
        <v>433</v>
      </c>
      <c r="C208" s="6">
        <v>45496</v>
      </c>
      <c r="D208" s="2" t="str">
        <f t="shared" si="6"/>
        <v>July</v>
      </c>
      <c r="E208" t="s">
        <v>434</v>
      </c>
      <c r="F208">
        <v>31</v>
      </c>
      <c r="G208" t="str">
        <f t="shared" si="7"/>
        <v>Adult</v>
      </c>
      <c r="H208" t="s">
        <v>22</v>
      </c>
      <c r="I208" t="s">
        <v>49</v>
      </c>
      <c r="J208" t="s">
        <v>65</v>
      </c>
      <c r="K208" t="s">
        <v>25</v>
      </c>
      <c r="L208" t="s">
        <v>26</v>
      </c>
      <c r="M208">
        <v>9</v>
      </c>
      <c r="N208">
        <v>36350</v>
      </c>
      <c r="O208">
        <v>327150</v>
      </c>
      <c r="P208" t="s">
        <v>53</v>
      </c>
      <c r="Q208">
        <v>2</v>
      </c>
      <c r="R208">
        <v>5</v>
      </c>
      <c r="S208" t="s">
        <v>46</v>
      </c>
    </row>
    <row r="209" spans="1:19" x14ac:dyDescent="0.3">
      <c r="A209">
        <v>206</v>
      </c>
      <c r="B209" t="s">
        <v>435</v>
      </c>
      <c r="C209" s="6">
        <v>45497</v>
      </c>
      <c r="D209" s="2" t="str">
        <f t="shared" si="6"/>
        <v>July</v>
      </c>
      <c r="E209" t="s">
        <v>30</v>
      </c>
      <c r="F209">
        <v>38</v>
      </c>
      <c r="G209" t="str">
        <f t="shared" si="7"/>
        <v>Adult</v>
      </c>
      <c r="H209" t="s">
        <v>42</v>
      </c>
      <c r="I209" t="s">
        <v>64</v>
      </c>
      <c r="J209" t="s">
        <v>32</v>
      </c>
      <c r="K209" t="s">
        <v>25</v>
      </c>
      <c r="L209" t="s">
        <v>189</v>
      </c>
      <c r="M209">
        <v>1</v>
      </c>
      <c r="N209">
        <v>44369</v>
      </c>
      <c r="O209">
        <v>44369</v>
      </c>
      <c r="P209" t="s">
        <v>99</v>
      </c>
      <c r="Q209">
        <v>5</v>
      </c>
      <c r="R209">
        <v>4</v>
      </c>
      <c r="S209" t="s">
        <v>28</v>
      </c>
    </row>
    <row r="210" spans="1:19" x14ac:dyDescent="0.3">
      <c r="A210">
        <v>207</v>
      </c>
      <c r="B210" t="s">
        <v>436</v>
      </c>
      <c r="C210" s="6">
        <v>45498</v>
      </c>
      <c r="D210" s="2" t="str">
        <f t="shared" si="6"/>
        <v>July</v>
      </c>
      <c r="E210" t="s">
        <v>397</v>
      </c>
      <c r="F210">
        <v>38</v>
      </c>
      <c r="G210" t="str">
        <f t="shared" si="7"/>
        <v>Adult</v>
      </c>
      <c r="H210" t="s">
        <v>42</v>
      </c>
      <c r="I210" t="s">
        <v>70</v>
      </c>
      <c r="J210" t="s">
        <v>50</v>
      </c>
      <c r="K210" t="s">
        <v>44</v>
      </c>
      <c r="L210" t="s">
        <v>91</v>
      </c>
      <c r="M210">
        <v>8</v>
      </c>
      <c r="N210">
        <v>20420</v>
      </c>
      <c r="O210">
        <v>163360</v>
      </c>
      <c r="P210" t="s">
        <v>27</v>
      </c>
      <c r="Q210">
        <v>1</v>
      </c>
      <c r="R210">
        <v>1</v>
      </c>
      <c r="S210" t="s">
        <v>28</v>
      </c>
    </row>
    <row r="211" spans="1:19" x14ac:dyDescent="0.3">
      <c r="A211">
        <v>208</v>
      </c>
      <c r="B211" t="s">
        <v>437</v>
      </c>
      <c r="C211" s="6">
        <v>45499</v>
      </c>
      <c r="D211" s="2" t="str">
        <f t="shared" si="6"/>
        <v>July</v>
      </c>
      <c r="E211" t="s">
        <v>69</v>
      </c>
      <c r="F211">
        <v>46</v>
      </c>
      <c r="G211" t="str">
        <f t="shared" si="7"/>
        <v>Adult</v>
      </c>
      <c r="H211" t="s">
        <v>42</v>
      </c>
      <c r="I211" t="s">
        <v>102</v>
      </c>
      <c r="J211" t="s">
        <v>50</v>
      </c>
      <c r="K211" t="s">
        <v>38</v>
      </c>
      <c r="L211" t="s">
        <v>81</v>
      </c>
      <c r="M211">
        <v>8</v>
      </c>
      <c r="N211">
        <v>3846</v>
      </c>
      <c r="O211">
        <v>30768</v>
      </c>
      <c r="P211" t="s">
        <v>27</v>
      </c>
      <c r="Q211">
        <v>3</v>
      </c>
      <c r="R211">
        <v>5</v>
      </c>
      <c r="S211" t="s">
        <v>28</v>
      </c>
    </row>
    <row r="212" spans="1:19" x14ac:dyDescent="0.3">
      <c r="A212">
        <v>209</v>
      </c>
      <c r="B212" t="s">
        <v>438</v>
      </c>
      <c r="C212" s="6">
        <v>45500</v>
      </c>
      <c r="D212" s="2" t="str">
        <f t="shared" si="6"/>
        <v>July</v>
      </c>
      <c r="E212" t="s">
        <v>439</v>
      </c>
      <c r="F212">
        <v>26</v>
      </c>
      <c r="G212" t="str">
        <f t="shared" si="7"/>
        <v>Teenager</v>
      </c>
      <c r="H212" t="s">
        <v>42</v>
      </c>
      <c r="I212" t="s">
        <v>23</v>
      </c>
      <c r="J212" t="s">
        <v>24</v>
      </c>
      <c r="K212" t="s">
        <v>25</v>
      </c>
      <c r="L212" t="s">
        <v>94</v>
      </c>
      <c r="M212">
        <v>7</v>
      </c>
      <c r="N212">
        <v>6950</v>
      </c>
      <c r="O212">
        <v>48650</v>
      </c>
      <c r="P212" t="s">
        <v>99</v>
      </c>
      <c r="Q212">
        <v>2</v>
      </c>
      <c r="R212">
        <v>4</v>
      </c>
      <c r="S212" t="s">
        <v>46</v>
      </c>
    </row>
    <row r="213" spans="1:19" x14ac:dyDescent="0.3">
      <c r="A213">
        <v>210</v>
      </c>
      <c r="B213" t="s">
        <v>440</v>
      </c>
      <c r="C213" s="6">
        <v>45501</v>
      </c>
      <c r="D213" s="2" t="str">
        <f t="shared" si="6"/>
        <v>July</v>
      </c>
      <c r="E213" t="s">
        <v>418</v>
      </c>
      <c r="F213">
        <v>39</v>
      </c>
      <c r="G213" t="str">
        <f t="shared" si="7"/>
        <v>Adult</v>
      </c>
      <c r="H213" t="s">
        <v>42</v>
      </c>
      <c r="I213" t="s">
        <v>64</v>
      </c>
      <c r="J213" t="s">
        <v>24</v>
      </c>
      <c r="K213" t="s">
        <v>38</v>
      </c>
      <c r="L213" t="s">
        <v>81</v>
      </c>
      <c r="M213">
        <v>5</v>
      </c>
      <c r="N213">
        <v>42872</v>
      </c>
      <c r="O213">
        <v>214360</v>
      </c>
      <c r="P213" t="s">
        <v>116</v>
      </c>
      <c r="Q213">
        <v>10</v>
      </c>
      <c r="R213">
        <v>4</v>
      </c>
      <c r="S213" t="s">
        <v>46</v>
      </c>
    </row>
    <row r="214" spans="1:19" x14ac:dyDescent="0.3">
      <c r="A214">
        <v>211</v>
      </c>
      <c r="B214" t="s">
        <v>441</v>
      </c>
      <c r="C214" s="6">
        <v>45502</v>
      </c>
      <c r="D214" s="2" t="str">
        <f t="shared" si="6"/>
        <v>July</v>
      </c>
      <c r="E214" t="s">
        <v>442</v>
      </c>
      <c r="F214">
        <v>49</v>
      </c>
      <c r="G214" t="str">
        <f t="shared" si="7"/>
        <v>Adult</v>
      </c>
      <c r="H214" t="s">
        <v>42</v>
      </c>
      <c r="I214" t="s">
        <v>120</v>
      </c>
      <c r="J214" t="s">
        <v>24</v>
      </c>
      <c r="K214" t="s">
        <v>51</v>
      </c>
      <c r="L214" t="s">
        <v>111</v>
      </c>
      <c r="M214">
        <v>6</v>
      </c>
      <c r="N214">
        <v>1160</v>
      </c>
      <c r="O214">
        <v>6960</v>
      </c>
      <c r="P214" t="s">
        <v>99</v>
      </c>
      <c r="Q214">
        <v>8</v>
      </c>
      <c r="R214">
        <v>5</v>
      </c>
      <c r="S214" t="s">
        <v>46</v>
      </c>
    </row>
    <row r="215" spans="1:19" x14ac:dyDescent="0.3">
      <c r="A215">
        <v>212</v>
      </c>
      <c r="B215" t="s">
        <v>443</v>
      </c>
      <c r="C215" s="6">
        <v>45503</v>
      </c>
      <c r="D215" s="2" t="str">
        <f t="shared" si="6"/>
        <v>July</v>
      </c>
      <c r="E215" t="s">
        <v>162</v>
      </c>
      <c r="F215">
        <v>54</v>
      </c>
      <c r="G215" t="str">
        <f t="shared" si="7"/>
        <v>Senior</v>
      </c>
      <c r="H215" t="s">
        <v>42</v>
      </c>
      <c r="I215" t="s">
        <v>120</v>
      </c>
      <c r="J215" t="s">
        <v>24</v>
      </c>
      <c r="K215" t="s">
        <v>44</v>
      </c>
      <c r="L215" t="s">
        <v>45</v>
      </c>
      <c r="M215">
        <v>3</v>
      </c>
      <c r="N215">
        <v>27490</v>
      </c>
      <c r="O215">
        <v>82470</v>
      </c>
      <c r="P215" t="s">
        <v>99</v>
      </c>
      <c r="Q215">
        <v>4</v>
      </c>
      <c r="R215">
        <v>4</v>
      </c>
      <c r="S215" t="s">
        <v>46</v>
      </c>
    </row>
    <row r="216" spans="1:19" x14ac:dyDescent="0.3">
      <c r="A216">
        <v>213</v>
      </c>
      <c r="B216" t="s">
        <v>444</v>
      </c>
      <c r="C216" s="6">
        <v>45504</v>
      </c>
      <c r="D216" s="2" t="str">
        <f t="shared" si="6"/>
        <v>July</v>
      </c>
      <c r="E216" t="s">
        <v>445</v>
      </c>
      <c r="F216">
        <v>42</v>
      </c>
      <c r="G216" t="str">
        <f t="shared" si="7"/>
        <v>Adult</v>
      </c>
      <c r="H216" t="s">
        <v>42</v>
      </c>
      <c r="I216" t="s">
        <v>80</v>
      </c>
      <c r="J216" t="s">
        <v>32</v>
      </c>
      <c r="K216" t="s">
        <v>25</v>
      </c>
      <c r="L216" t="s">
        <v>77</v>
      </c>
      <c r="M216">
        <v>5</v>
      </c>
      <c r="N216">
        <v>30318</v>
      </c>
      <c r="O216">
        <v>151590</v>
      </c>
      <c r="P216" t="s">
        <v>53</v>
      </c>
      <c r="Q216">
        <v>1</v>
      </c>
      <c r="R216">
        <v>4</v>
      </c>
      <c r="S216" t="s">
        <v>28</v>
      </c>
    </row>
    <row r="217" spans="1:19" x14ac:dyDescent="0.3">
      <c r="A217">
        <v>214</v>
      </c>
      <c r="B217" t="s">
        <v>446</v>
      </c>
      <c r="C217" s="6">
        <v>45505</v>
      </c>
      <c r="D217" s="2" t="str">
        <f t="shared" si="6"/>
        <v>August</v>
      </c>
      <c r="E217" t="s">
        <v>447</v>
      </c>
      <c r="F217">
        <v>59</v>
      </c>
      <c r="G217" t="str">
        <f t="shared" si="7"/>
        <v>Senior</v>
      </c>
      <c r="H217" t="s">
        <v>42</v>
      </c>
      <c r="I217" t="s">
        <v>70</v>
      </c>
      <c r="J217" t="s">
        <v>50</v>
      </c>
      <c r="K217" t="s">
        <v>33</v>
      </c>
      <c r="L217" t="s">
        <v>89</v>
      </c>
      <c r="M217">
        <v>10</v>
      </c>
      <c r="N217">
        <v>29619</v>
      </c>
      <c r="O217">
        <v>296190</v>
      </c>
      <c r="P217" t="s">
        <v>61</v>
      </c>
      <c r="Q217">
        <v>10</v>
      </c>
      <c r="R217">
        <v>3</v>
      </c>
      <c r="S217" t="s">
        <v>28</v>
      </c>
    </row>
    <row r="218" spans="1:19" x14ac:dyDescent="0.3">
      <c r="A218">
        <v>215</v>
      </c>
      <c r="B218" t="s">
        <v>448</v>
      </c>
      <c r="C218" s="6">
        <v>45506</v>
      </c>
      <c r="D218" s="2" t="str">
        <f t="shared" si="6"/>
        <v>August</v>
      </c>
      <c r="E218" t="s">
        <v>449</v>
      </c>
      <c r="F218">
        <v>39</v>
      </c>
      <c r="G218" t="str">
        <f t="shared" si="7"/>
        <v>Adult</v>
      </c>
      <c r="H218" t="s">
        <v>22</v>
      </c>
      <c r="I218" t="s">
        <v>23</v>
      </c>
      <c r="J218" t="s">
        <v>50</v>
      </c>
      <c r="K218" t="s">
        <v>25</v>
      </c>
      <c r="L218" t="s">
        <v>94</v>
      </c>
      <c r="M218">
        <v>5</v>
      </c>
      <c r="N218">
        <v>36774</v>
      </c>
      <c r="O218">
        <v>183870</v>
      </c>
      <c r="P218" t="s">
        <v>53</v>
      </c>
      <c r="Q218">
        <v>4</v>
      </c>
      <c r="R218">
        <v>3</v>
      </c>
      <c r="S218" t="s">
        <v>28</v>
      </c>
    </row>
    <row r="219" spans="1:19" x14ac:dyDescent="0.3">
      <c r="A219">
        <v>216</v>
      </c>
      <c r="B219" t="s">
        <v>450</v>
      </c>
      <c r="C219" s="6">
        <v>45507</v>
      </c>
      <c r="D219" s="2" t="str">
        <f t="shared" si="6"/>
        <v>August</v>
      </c>
      <c r="E219" t="s">
        <v>451</v>
      </c>
      <c r="F219">
        <v>21</v>
      </c>
      <c r="G219" t="str">
        <f t="shared" si="7"/>
        <v>Teenager</v>
      </c>
      <c r="H219" t="s">
        <v>42</v>
      </c>
      <c r="I219" t="s">
        <v>64</v>
      </c>
      <c r="J219" t="s">
        <v>50</v>
      </c>
      <c r="K219" t="s">
        <v>38</v>
      </c>
      <c r="L219" t="s">
        <v>135</v>
      </c>
      <c r="M219">
        <v>4</v>
      </c>
      <c r="N219">
        <v>18155</v>
      </c>
      <c r="O219">
        <v>72620</v>
      </c>
      <c r="P219" t="s">
        <v>53</v>
      </c>
      <c r="Q219">
        <v>8</v>
      </c>
      <c r="R219">
        <v>5</v>
      </c>
      <c r="S219" t="s">
        <v>28</v>
      </c>
    </row>
    <row r="220" spans="1:19" x14ac:dyDescent="0.3">
      <c r="A220">
        <v>217</v>
      </c>
      <c r="B220" t="s">
        <v>452</v>
      </c>
      <c r="C220" s="6">
        <v>45508</v>
      </c>
      <c r="D220" s="2" t="str">
        <f t="shared" si="6"/>
        <v>August</v>
      </c>
      <c r="E220" t="s">
        <v>235</v>
      </c>
      <c r="F220">
        <v>25</v>
      </c>
      <c r="G220" t="str">
        <f t="shared" si="7"/>
        <v>Teenager</v>
      </c>
      <c r="H220" t="s">
        <v>42</v>
      </c>
      <c r="I220" t="s">
        <v>70</v>
      </c>
      <c r="J220" t="s">
        <v>32</v>
      </c>
      <c r="K220" t="s">
        <v>25</v>
      </c>
      <c r="L220" t="s">
        <v>26</v>
      </c>
      <c r="M220">
        <v>3</v>
      </c>
      <c r="N220">
        <v>13952</v>
      </c>
      <c r="O220">
        <v>41856</v>
      </c>
      <c r="P220" t="s">
        <v>116</v>
      </c>
      <c r="Q220">
        <v>2</v>
      </c>
      <c r="R220">
        <v>4</v>
      </c>
      <c r="S220" t="s">
        <v>46</v>
      </c>
    </row>
    <row r="221" spans="1:19" x14ac:dyDescent="0.3">
      <c r="A221">
        <v>218</v>
      </c>
      <c r="B221" t="s">
        <v>453</v>
      </c>
      <c r="C221" s="6">
        <v>45509</v>
      </c>
      <c r="D221" s="2" t="str">
        <f t="shared" si="6"/>
        <v>August</v>
      </c>
      <c r="E221" t="s">
        <v>454</v>
      </c>
      <c r="F221">
        <v>55</v>
      </c>
      <c r="G221" t="str">
        <f t="shared" si="7"/>
        <v>Senior</v>
      </c>
      <c r="H221" t="s">
        <v>22</v>
      </c>
      <c r="I221" t="s">
        <v>37</v>
      </c>
      <c r="J221" t="s">
        <v>65</v>
      </c>
      <c r="K221" t="s">
        <v>44</v>
      </c>
      <c r="L221" t="s">
        <v>224</v>
      </c>
      <c r="M221">
        <v>9</v>
      </c>
      <c r="N221">
        <v>17963</v>
      </c>
      <c r="O221">
        <v>161667</v>
      </c>
      <c r="P221" t="s">
        <v>61</v>
      </c>
      <c r="Q221">
        <v>2</v>
      </c>
      <c r="R221">
        <v>1</v>
      </c>
      <c r="S221" t="s">
        <v>46</v>
      </c>
    </row>
    <row r="222" spans="1:19" x14ac:dyDescent="0.3">
      <c r="A222">
        <v>219</v>
      </c>
      <c r="B222" t="s">
        <v>455</v>
      </c>
      <c r="C222" s="6">
        <v>45510</v>
      </c>
      <c r="D222" s="2" t="str">
        <f t="shared" si="6"/>
        <v>August</v>
      </c>
      <c r="E222" t="s">
        <v>456</v>
      </c>
      <c r="F222">
        <v>21</v>
      </c>
      <c r="G222" t="str">
        <f t="shared" si="7"/>
        <v>Teenager</v>
      </c>
      <c r="H222" t="s">
        <v>42</v>
      </c>
      <c r="I222" t="s">
        <v>37</v>
      </c>
      <c r="J222" t="s">
        <v>50</v>
      </c>
      <c r="K222" t="s">
        <v>25</v>
      </c>
      <c r="L222" t="s">
        <v>77</v>
      </c>
      <c r="M222">
        <v>9</v>
      </c>
      <c r="N222">
        <v>36829</v>
      </c>
      <c r="O222">
        <v>331461</v>
      </c>
      <c r="P222" t="s">
        <v>61</v>
      </c>
      <c r="Q222">
        <v>6</v>
      </c>
      <c r="R222">
        <v>4</v>
      </c>
      <c r="S222" t="s">
        <v>28</v>
      </c>
    </row>
    <row r="223" spans="1:19" x14ac:dyDescent="0.3">
      <c r="A223">
        <v>220</v>
      </c>
      <c r="B223" t="s">
        <v>457</v>
      </c>
      <c r="C223" s="6">
        <v>45511</v>
      </c>
      <c r="D223" s="2" t="str">
        <f t="shared" si="6"/>
        <v>August</v>
      </c>
      <c r="E223" t="s">
        <v>458</v>
      </c>
      <c r="F223">
        <v>53</v>
      </c>
      <c r="G223" t="str">
        <f t="shared" si="7"/>
        <v>Senior</v>
      </c>
      <c r="H223" t="s">
        <v>22</v>
      </c>
      <c r="I223" t="s">
        <v>23</v>
      </c>
      <c r="J223" t="s">
        <v>65</v>
      </c>
      <c r="K223" t="s">
        <v>44</v>
      </c>
      <c r="L223" t="s">
        <v>224</v>
      </c>
      <c r="M223">
        <v>7</v>
      </c>
      <c r="N223">
        <v>48420</v>
      </c>
      <c r="O223">
        <v>338940</v>
      </c>
      <c r="P223" t="s">
        <v>116</v>
      </c>
      <c r="Q223">
        <v>2</v>
      </c>
      <c r="R223">
        <v>2</v>
      </c>
      <c r="S223" t="s">
        <v>28</v>
      </c>
    </row>
    <row r="224" spans="1:19" x14ac:dyDescent="0.3">
      <c r="A224">
        <v>221</v>
      </c>
      <c r="B224" t="s">
        <v>459</v>
      </c>
      <c r="C224" s="6">
        <v>45512</v>
      </c>
      <c r="D224" s="2" t="str">
        <f t="shared" si="6"/>
        <v>August</v>
      </c>
      <c r="E224" t="s">
        <v>106</v>
      </c>
      <c r="F224">
        <v>22</v>
      </c>
      <c r="G224" t="str">
        <f t="shared" si="7"/>
        <v>Teenager</v>
      </c>
      <c r="H224" t="s">
        <v>42</v>
      </c>
      <c r="I224" t="s">
        <v>120</v>
      </c>
      <c r="J224" t="s">
        <v>50</v>
      </c>
      <c r="K224" t="s">
        <v>51</v>
      </c>
      <c r="L224" t="s">
        <v>52</v>
      </c>
      <c r="M224">
        <v>1</v>
      </c>
      <c r="N224">
        <v>235</v>
      </c>
      <c r="O224">
        <v>235</v>
      </c>
      <c r="P224" t="s">
        <v>116</v>
      </c>
      <c r="Q224">
        <v>3</v>
      </c>
      <c r="R224">
        <v>5</v>
      </c>
      <c r="S224" t="s">
        <v>46</v>
      </c>
    </row>
    <row r="225" spans="1:19" x14ac:dyDescent="0.3">
      <c r="A225">
        <v>222</v>
      </c>
      <c r="B225" t="s">
        <v>460</v>
      </c>
      <c r="C225" s="6">
        <v>45513</v>
      </c>
      <c r="D225" s="2" t="str">
        <f t="shared" si="6"/>
        <v>August</v>
      </c>
      <c r="E225" t="s">
        <v>461</v>
      </c>
      <c r="F225">
        <v>38</v>
      </c>
      <c r="G225" t="str">
        <f t="shared" si="7"/>
        <v>Adult</v>
      </c>
      <c r="H225" t="s">
        <v>42</v>
      </c>
      <c r="I225" t="s">
        <v>23</v>
      </c>
      <c r="J225" t="s">
        <v>24</v>
      </c>
      <c r="K225" t="s">
        <v>38</v>
      </c>
      <c r="L225" t="s">
        <v>81</v>
      </c>
      <c r="M225">
        <v>8</v>
      </c>
      <c r="N225">
        <v>30741</v>
      </c>
      <c r="O225">
        <v>245928</v>
      </c>
      <c r="P225" t="s">
        <v>116</v>
      </c>
      <c r="Q225">
        <v>5</v>
      </c>
      <c r="R225">
        <v>4</v>
      </c>
      <c r="S225" t="s">
        <v>28</v>
      </c>
    </row>
    <row r="226" spans="1:19" x14ac:dyDescent="0.3">
      <c r="A226">
        <v>223</v>
      </c>
      <c r="B226" t="s">
        <v>462</v>
      </c>
      <c r="C226" s="6">
        <v>45514</v>
      </c>
      <c r="D226" s="2" t="str">
        <f t="shared" si="6"/>
        <v>August</v>
      </c>
      <c r="E226" t="s">
        <v>463</v>
      </c>
      <c r="F226">
        <v>52</v>
      </c>
      <c r="G226" t="str">
        <f t="shared" si="7"/>
        <v>Senior</v>
      </c>
      <c r="H226" t="s">
        <v>22</v>
      </c>
      <c r="I226" t="s">
        <v>70</v>
      </c>
      <c r="J226" t="s">
        <v>24</v>
      </c>
      <c r="K226" t="s">
        <v>38</v>
      </c>
      <c r="L226" t="s">
        <v>135</v>
      </c>
      <c r="M226">
        <v>3</v>
      </c>
      <c r="N226">
        <v>29078</v>
      </c>
      <c r="O226">
        <v>87234</v>
      </c>
      <c r="P226" t="s">
        <v>53</v>
      </c>
      <c r="Q226">
        <v>3</v>
      </c>
      <c r="R226">
        <v>2</v>
      </c>
      <c r="S226" t="s">
        <v>46</v>
      </c>
    </row>
    <row r="227" spans="1:19" x14ac:dyDescent="0.3">
      <c r="A227">
        <v>224</v>
      </c>
      <c r="B227" t="s">
        <v>464</v>
      </c>
      <c r="C227" s="6">
        <v>45515</v>
      </c>
      <c r="D227" s="2" t="str">
        <f t="shared" si="6"/>
        <v>August</v>
      </c>
      <c r="E227" t="s">
        <v>465</v>
      </c>
      <c r="F227">
        <v>18</v>
      </c>
      <c r="G227" t="str">
        <f t="shared" si="7"/>
        <v>Teenager</v>
      </c>
      <c r="H227" t="s">
        <v>22</v>
      </c>
      <c r="I227" t="s">
        <v>80</v>
      </c>
      <c r="J227" t="s">
        <v>32</v>
      </c>
      <c r="K227" t="s">
        <v>38</v>
      </c>
      <c r="L227" t="s">
        <v>71</v>
      </c>
      <c r="M227">
        <v>10</v>
      </c>
      <c r="N227">
        <v>43001</v>
      </c>
      <c r="O227">
        <v>430010</v>
      </c>
      <c r="P227" t="s">
        <v>27</v>
      </c>
      <c r="Q227">
        <v>7</v>
      </c>
      <c r="R227">
        <v>4</v>
      </c>
      <c r="S227" t="s">
        <v>46</v>
      </c>
    </row>
    <row r="228" spans="1:19" x14ac:dyDescent="0.3">
      <c r="A228">
        <v>225</v>
      </c>
      <c r="B228" t="s">
        <v>466</v>
      </c>
      <c r="C228" s="6">
        <v>45516</v>
      </c>
      <c r="D228" s="2" t="str">
        <f t="shared" si="6"/>
        <v>August</v>
      </c>
      <c r="E228" t="s">
        <v>467</v>
      </c>
      <c r="F228">
        <v>45</v>
      </c>
      <c r="G228" t="str">
        <f t="shared" si="7"/>
        <v>Adult</v>
      </c>
      <c r="H228" t="s">
        <v>42</v>
      </c>
      <c r="I228" t="s">
        <v>31</v>
      </c>
      <c r="J228" t="s">
        <v>32</v>
      </c>
      <c r="K228" t="s">
        <v>33</v>
      </c>
      <c r="L228" t="s">
        <v>153</v>
      </c>
      <c r="M228">
        <v>6</v>
      </c>
      <c r="N228">
        <v>8301</v>
      </c>
      <c r="O228">
        <v>49806</v>
      </c>
      <c r="P228" t="s">
        <v>27</v>
      </c>
      <c r="Q228">
        <v>2</v>
      </c>
      <c r="R228">
        <v>5</v>
      </c>
      <c r="S228" t="s">
        <v>46</v>
      </c>
    </row>
    <row r="229" spans="1:19" x14ac:dyDescent="0.3">
      <c r="A229">
        <v>226</v>
      </c>
      <c r="B229" t="s">
        <v>468</v>
      </c>
      <c r="C229" s="6">
        <v>45517</v>
      </c>
      <c r="D229" s="2" t="str">
        <f t="shared" si="6"/>
        <v>August</v>
      </c>
      <c r="E229" t="s">
        <v>469</v>
      </c>
      <c r="F229">
        <v>58</v>
      </c>
      <c r="G229" t="str">
        <f t="shared" si="7"/>
        <v>Senior</v>
      </c>
      <c r="H229" t="s">
        <v>42</v>
      </c>
      <c r="I229" t="s">
        <v>102</v>
      </c>
      <c r="J229" t="s">
        <v>32</v>
      </c>
      <c r="K229" t="s">
        <v>33</v>
      </c>
      <c r="L229" t="s">
        <v>160</v>
      </c>
      <c r="M229">
        <v>1</v>
      </c>
      <c r="N229">
        <v>37692</v>
      </c>
      <c r="O229">
        <v>37692</v>
      </c>
      <c r="P229" t="s">
        <v>27</v>
      </c>
      <c r="Q229">
        <v>8</v>
      </c>
      <c r="R229">
        <v>3</v>
      </c>
      <c r="S229" t="s">
        <v>46</v>
      </c>
    </row>
    <row r="230" spans="1:19" x14ac:dyDescent="0.3">
      <c r="A230">
        <v>227</v>
      </c>
      <c r="B230" t="s">
        <v>470</v>
      </c>
      <c r="C230" s="6">
        <v>45518</v>
      </c>
      <c r="D230" s="2" t="str">
        <f t="shared" si="6"/>
        <v>August</v>
      </c>
      <c r="E230" t="s">
        <v>471</v>
      </c>
      <c r="F230">
        <v>48</v>
      </c>
      <c r="G230" t="str">
        <f t="shared" si="7"/>
        <v>Adult</v>
      </c>
      <c r="H230" t="s">
        <v>42</v>
      </c>
      <c r="I230" t="s">
        <v>37</v>
      </c>
      <c r="J230" t="s">
        <v>50</v>
      </c>
      <c r="K230" t="s">
        <v>33</v>
      </c>
      <c r="L230" t="s">
        <v>153</v>
      </c>
      <c r="M230">
        <v>10</v>
      </c>
      <c r="N230">
        <v>41451</v>
      </c>
      <c r="O230">
        <v>414510</v>
      </c>
      <c r="P230" t="s">
        <v>99</v>
      </c>
      <c r="Q230">
        <v>3</v>
      </c>
      <c r="R230">
        <v>2</v>
      </c>
      <c r="S230" t="s">
        <v>28</v>
      </c>
    </row>
    <row r="231" spans="1:19" x14ac:dyDescent="0.3">
      <c r="A231">
        <v>228</v>
      </c>
      <c r="B231" t="s">
        <v>472</v>
      </c>
      <c r="C231" s="6">
        <v>45519</v>
      </c>
      <c r="D231" s="2" t="str">
        <f t="shared" si="6"/>
        <v>August</v>
      </c>
      <c r="E231" t="s">
        <v>373</v>
      </c>
      <c r="F231">
        <v>32</v>
      </c>
      <c r="G231" t="str">
        <f t="shared" si="7"/>
        <v>Adult</v>
      </c>
      <c r="H231" t="s">
        <v>22</v>
      </c>
      <c r="I231" t="s">
        <v>49</v>
      </c>
      <c r="J231" t="s">
        <v>65</v>
      </c>
      <c r="K231" t="s">
        <v>25</v>
      </c>
      <c r="L231" t="s">
        <v>26</v>
      </c>
      <c r="M231">
        <v>5</v>
      </c>
      <c r="N231">
        <v>39758</v>
      </c>
      <c r="O231">
        <v>198790</v>
      </c>
      <c r="P231" t="s">
        <v>99</v>
      </c>
      <c r="Q231">
        <v>3</v>
      </c>
      <c r="R231">
        <v>1</v>
      </c>
      <c r="S231" t="s">
        <v>28</v>
      </c>
    </row>
    <row r="232" spans="1:19" x14ac:dyDescent="0.3">
      <c r="A232">
        <v>229</v>
      </c>
      <c r="B232" t="s">
        <v>473</v>
      </c>
      <c r="C232" s="6">
        <v>45520</v>
      </c>
      <c r="D232" s="2" t="str">
        <f t="shared" si="6"/>
        <v>August</v>
      </c>
      <c r="E232" t="s">
        <v>474</v>
      </c>
      <c r="F232">
        <v>49</v>
      </c>
      <c r="G232" t="str">
        <f t="shared" si="7"/>
        <v>Adult</v>
      </c>
      <c r="H232" t="s">
        <v>22</v>
      </c>
      <c r="I232" t="s">
        <v>37</v>
      </c>
      <c r="J232" t="s">
        <v>65</v>
      </c>
      <c r="K232" t="s">
        <v>44</v>
      </c>
      <c r="L232" t="s">
        <v>224</v>
      </c>
      <c r="M232">
        <v>2</v>
      </c>
      <c r="N232">
        <v>24148</v>
      </c>
      <c r="O232">
        <v>48296</v>
      </c>
      <c r="P232" t="s">
        <v>27</v>
      </c>
      <c r="Q232">
        <v>1</v>
      </c>
      <c r="R232">
        <v>5</v>
      </c>
      <c r="S232" t="s">
        <v>46</v>
      </c>
    </row>
    <row r="233" spans="1:19" x14ac:dyDescent="0.3">
      <c r="A233">
        <v>230</v>
      </c>
      <c r="B233" t="s">
        <v>475</v>
      </c>
      <c r="C233" s="6">
        <v>45521</v>
      </c>
      <c r="D233" s="2" t="str">
        <f t="shared" si="6"/>
        <v>August</v>
      </c>
      <c r="E233" t="s">
        <v>476</v>
      </c>
      <c r="F233">
        <v>26</v>
      </c>
      <c r="G233" t="str">
        <f t="shared" si="7"/>
        <v>Teenager</v>
      </c>
      <c r="H233" t="s">
        <v>22</v>
      </c>
      <c r="I233" t="s">
        <v>70</v>
      </c>
      <c r="J233" t="s">
        <v>65</v>
      </c>
      <c r="K233" t="s">
        <v>33</v>
      </c>
      <c r="L233" t="s">
        <v>34</v>
      </c>
      <c r="M233">
        <v>2</v>
      </c>
      <c r="N233">
        <v>29241</v>
      </c>
      <c r="O233">
        <v>58482</v>
      </c>
      <c r="P233" t="s">
        <v>61</v>
      </c>
      <c r="Q233">
        <v>2</v>
      </c>
      <c r="R233">
        <v>1</v>
      </c>
      <c r="S233" t="s">
        <v>46</v>
      </c>
    </row>
    <row r="234" spans="1:19" x14ac:dyDescent="0.3">
      <c r="A234">
        <v>231</v>
      </c>
      <c r="B234" t="s">
        <v>477</v>
      </c>
      <c r="C234" s="6">
        <v>45522</v>
      </c>
      <c r="D234" s="2" t="str">
        <f t="shared" si="6"/>
        <v>August</v>
      </c>
      <c r="E234" t="s">
        <v>296</v>
      </c>
      <c r="F234">
        <v>23</v>
      </c>
      <c r="G234" t="str">
        <f t="shared" si="7"/>
        <v>Teenager</v>
      </c>
      <c r="H234" t="s">
        <v>42</v>
      </c>
      <c r="I234" t="s">
        <v>120</v>
      </c>
      <c r="J234" t="s">
        <v>24</v>
      </c>
      <c r="K234" t="s">
        <v>38</v>
      </c>
      <c r="L234" t="s">
        <v>135</v>
      </c>
      <c r="M234">
        <v>4</v>
      </c>
      <c r="N234">
        <v>8452</v>
      </c>
      <c r="O234">
        <v>33808</v>
      </c>
      <c r="P234" t="s">
        <v>61</v>
      </c>
      <c r="Q234">
        <v>4</v>
      </c>
      <c r="R234">
        <v>1</v>
      </c>
      <c r="S234" t="s">
        <v>46</v>
      </c>
    </row>
    <row r="235" spans="1:19" x14ac:dyDescent="0.3">
      <c r="A235">
        <v>232</v>
      </c>
      <c r="B235" t="s">
        <v>478</v>
      </c>
      <c r="C235" s="6">
        <v>45523</v>
      </c>
      <c r="D235" s="2" t="str">
        <f t="shared" si="6"/>
        <v>August</v>
      </c>
      <c r="E235" t="s">
        <v>479</v>
      </c>
      <c r="F235">
        <v>51</v>
      </c>
      <c r="G235" t="str">
        <f t="shared" si="7"/>
        <v>Senior</v>
      </c>
      <c r="H235" t="s">
        <v>22</v>
      </c>
      <c r="I235" t="s">
        <v>49</v>
      </c>
      <c r="J235" t="s">
        <v>32</v>
      </c>
      <c r="K235" t="s">
        <v>38</v>
      </c>
      <c r="L235" t="s">
        <v>81</v>
      </c>
      <c r="M235">
        <v>3</v>
      </c>
      <c r="N235">
        <v>13647</v>
      </c>
      <c r="O235">
        <v>40941</v>
      </c>
      <c r="P235" t="s">
        <v>99</v>
      </c>
      <c r="Q235">
        <v>8</v>
      </c>
      <c r="R235">
        <v>4</v>
      </c>
      <c r="S235" t="s">
        <v>46</v>
      </c>
    </row>
    <row r="236" spans="1:19" x14ac:dyDescent="0.3">
      <c r="A236">
        <v>233</v>
      </c>
      <c r="B236" t="s">
        <v>480</v>
      </c>
      <c r="C236" s="6">
        <v>45524</v>
      </c>
      <c r="D236" s="2" t="str">
        <f t="shared" si="6"/>
        <v>August</v>
      </c>
      <c r="E236" t="s">
        <v>237</v>
      </c>
      <c r="F236">
        <v>41</v>
      </c>
      <c r="G236" t="str">
        <f t="shared" si="7"/>
        <v>Adult</v>
      </c>
      <c r="H236" t="s">
        <v>22</v>
      </c>
      <c r="I236" t="s">
        <v>70</v>
      </c>
      <c r="J236" t="s">
        <v>65</v>
      </c>
      <c r="K236" t="s">
        <v>25</v>
      </c>
      <c r="L236" t="s">
        <v>94</v>
      </c>
      <c r="M236">
        <v>1</v>
      </c>
      <c r="N236">
        <v>4901</v>
      </c>
      <c r="O236">
        <v>4901</v>
      </c>
      <c r="P236" t="s">
        <v>99</v>
      </c>
      <c r="Q236">
        <v>3</v>
      </c>
      <c r="R236">
        <v>4</v>
      </c>
      <c r="S236" t="s">
        <v>28</v>
      </c>
    </row>
    <row r="237" spans="1:19" x14ac:dyDescent="0.3">
      <c r="A237">
        <v>234</v>
      </c>
      <c r="B237" t="s">
        <v>481</v>
      </c>
      <c r="C237" s="6">
        <v>45525</v>
      </c>
      <c r="D237" s="2" t="str">
        <f t="shared" si="6"/>
        <v>August</v>
      </c>
      <c r="E237" t="s">
        <v>175</v>
      </c>
      <c r="F237">
        <v>29</v>
      </c>
      <c r="G237" t="str">
        <f t="shared" si="7"/>
        <v>Teenager</v>
      </c>
      <c r="H237" t="s">
        <v>22</v>
      </c>
      <c r="I237" t="s">
        <v>64</v>
      </c>
      <c r="J237" t="s">
        <v>65</v>
      </c>
      <c r="K237" t="s">
        <v>25</v>
      </c>
      <c r="L237" t="s">
        <v>94</v>
      </c>
      <c r="M237">
        <v>7</v>
      </c>
      <c r="N237">
        <v>45247</v>
      </c>
      <c r="O237">
        <v>316729</v>
      </c>
      <c r="P237" t="s">
        <v>61</v>
      </c>
      <c r="Q237">
        <v>4</v>
      </c>
      <c r="R237">
        <v>1</v>
      </c>
      <c r="S237" t="s">
        <v>46</v>
      </c>
    </row>
    <row r="238" spans="1:19" x14ac:dyDescent="0.3">
      <c r="A238">
        <v>235</v>
      </c>
      <c r="B238" t="s">
        <v>482</v>
      </c>
      <c r="C238" s="6">
        <v>45526</v>
      </c>
      <c r="D238" s="2" t="str">
        <f t="shared" si="6"/>
        <v>August</v>
      </c>
      <c r="E238" t="s">
        <v>284</v>
      </c>
      <c r="F238">
        <v>41</v>
      </c>
      <c r="G238" t="str">
        <f t="shared" si="7"/>
        <v>Adult</v>
      </c>
      <c r="H238" t="s">
        <v>22</v>
      </c>
      <c r="I238" t="s">
        <v>64</v>
      </c>
      <c r="J238" t="s">
        <v>65</v>
      </c>
      <c r="K238" t="s">
        <v>51</v>
      </c>
      <c r="L238" t="s">
        <v>111</v>
      </c>
      <c r="M238">
        <v>2</v>
      </c>
      <c r="N238">
        <v>1482</v>
      </c>
      <c r="O238">
        <v>2964</v>
      </c>
      <c r="P238" t="s">
        <v>27</v>
      </c>
      <c r="Q238">
        <v>8</v>
      </c>
      <c r="R238">
        <v>4</v>
      </c>
      <c r="S238" t="s">
        <v>28</v>
      </c>
    </row>
    <row r="239" spans="1:19" x14ac:dyDescent="0.3">
      <c r="A239">
        <v>236</v>
      </c>
      <c r="B239" t="s">
        <v>483</v>
      </c>
      <c r="C239" s="6">
        <v>45527</v>
      </c>
      <c r="D239" s="2" t="str">
        <f t="shared" si="6"/>
        <v>August</v>
      </c>
      <c r="E239" t="s">
        <v>484</v>
      </c>
      <c r="F239">
        <v>58</v>
      </c>
      <c r="G239" t="str">
        <f t="shared" si="7"/>
        <v>Senior</v>
      </c>
      <c r="H239" t="s">
        <v>42</v>
      </c>
      <c r="I239" t="s">
        <v>102</v>
      </c>
      <c r="J239" t="s">
        <v>32</v>
      </c>
      <c r="K239" t="s">
        <v>44</v>
      </c>
      <c r="L239" t="s">
        <v>91</v>
      </c>
      <c r="M239">
        <v>4</v>
      </c>
      <c r="N239">
        <v>44328</v>
      </c>
      <c r="O239">
        <v>177312</v>
      </c>
      <c r="P239" t="s">
        <v>116</v>
      </c>
      <c r="Q239">
        <v>5</v>
      </c>
      <c r="R239">
        <v>4</v>
      </c>
      <c r="S239" t="s">
        <v>46</v>
      </c>
    </row>
    <row r="240" spans="1:19" x14ac:dyDescent="0.3">
      <c r="A240">
        <v>237</v>
      </c>
      <c r="B240" t="s">
        <v>485</v>
      </c>
      <c r="C240" s="6">
        <v>45528</v>
      </c>
      <c r="D240" s="2" t="str">
        <f t="shared" si="6"/>
        <v>August</v>
      </c>
      <c r="E240" t="s">
        <v>141</v>
      </c>
      <c r="F240">
        <v>35</v>
      </c>
      <c r="G240" t="str">
        <f t="shared" si="7"/>
        <v>Adult</v>
      </c>
      <c r="H240" t="s">
        <v>22</v>
      </c>
      <c r="I240" t="s">
        <v>37</v>
      </c>
      <c r="J240" t="s">
        <v>32</v>
      </c>
      <c r="K240" t="s">
        <v>51</v>
      </c>
      <c r="L240" t="s">
        <v>60</v>
      </c>
      <c r="M240">
        <v>6</v>
      </c>
      <c r="N240">
        <v>417</v>
      </c>
      <c r="O240">
        <v>2502</v>
      </c>
      <c r="P240" t="s">
        <v>53</v>
      </c>
      <c r="Q240">
        <v>1</v>
      </c>
      <c r="R240">
        <v>5</v>
      </c>
      <c r="S240" t="s">
        <v>46</v>
      </c>
    </row>
    <row r="241" spans="1:19" x14ac:dyDescent="0.3">
      <c r="A241">
        <v>238</v>
      </c>
      <c r="B241" t="s">
        <v>486</v>
      </c>
      <c r="C241" s="6">
        <v>45529</v>
      </c>
      <c r="D241" s="2" t="str">
        <f t="shared" si="6"/>
        <v>August</v>
      </c>
      <c r="E241" t="s">
        <v>104</v>
      </c>
      <c r="F241">
        <v>60</v>
      </c>
      <c r="G241" t="str">
        <f t="shared" si="7"/>
        <v>Senior</v>
      </c>
      <c r="H241" t="s">
        <v>42</v>
      </c>
      <c r="I241" t="s">
        <v>31</v>
      </c>
      <c r="J241" t="s">
        <v>50</v>
      </c>
      <c r="K241" t="s">
        <v>44</v>
      </c>
      <c r="L241" t="s">
        <v>178</v>
      </c>
      <c r="M241">
        <v>5</v>
      </c>
      <c r="N241">
        <v>44219</v>
      </c>
      <c r="O241">
        <v>221095</v>
      </c>
      <c r="P241" t="s">
        <v>99</v>
      </c>
      <c r="Q241">
        <v>5</v>
      </c>
      <c r="R241">
        <v>1</v>
      </c>
      <c r="S241" t="s">
        <v>46</v>
      </c>
    </row>
    <row r="242" spans="1:19" x14ac:dyDescent="0.3">
      <c r="A242">
        <v>239</v>
      </c>
      <c r="B242" t="s">
        <v>487</v>
      </c>
      <c r="C242" s="6">
        <v>45530</v>
      </c>
      <c r="D242" s="2" t="str">
        <f t="shared" si="6"/>
        <v>August</v>
      </c>
      <c r="E242" t="s">
        <v>211</v>
      </c>
      <c r="F242">
        <v>18</v>
      </c>
      <c r="G242" t="str">
        <f t="shared" si="7"/>
        <v>Teenager</v>
      </c>
      <c r="H242" t="s">
        <v>42</v>
      </c>
      <c r="I242" t="s">
        <v>102</v>
      </c>
      <c r="J242" t="s">
        <v>50</v>
      </c>
      <c r="K242" t="s">
        <v>33</v>
      </c>
      <c r="L242" t="s">
        <v>34</v>
      </c>
      <c r="M242">
        <v>1</v>
      </c>
      <c r="N242">
        <v>13253</v>
      </c>
      <c r="O242">
        <v>13253</v>
      </c>
      <c r="P242" t="s">
        <v>27</v>
      </c>
      <c r="Q242">
        <v>2</v>
      </c>
      <c r="R242">
        <v>5</v>
      </c>
      <c r="S242" t="s">
        <v>46</v>
      </c>
    </row>
    <row r="243" spans="1:19" x14ac:dyDescent="0.3">
      <c r="A243">
        <v>240</v>
      </c>
      <c r="B243" t="s">
        <v>488</v>
      </c>
      <c r="C243" s="6">
        <v>45531</v>
      </c>
      <c r="D243" s="2" t="str">
        <f t="shared" si="6"/>
        <v>August</v>
      </c>
      <c r="E243" t="s">
        <v>269</v>
      </c>
      <c r="F243">
        <v>48</v>
      </c>
      <c r="G243" t="str">
        <f t="shared" si="7"/>
        <v>Adult</v>
      </c>
      <c r="H243" t="s">
        <v>22</v>
      </c>
      <c r="I243" t="s">
        <v>64</v>
      </c>
      <c r="J243" t="s">
        <v>32</v>
      </c>
      <c r="K243" t="s">
        <v>33</v>
      </c>
      <c r="L243" t="s">
        <v>34</v>
      </c>
      <c r="M243">
        <v>8</v>
      </c>
      <c r="N243">
        <v>35390</v>
      </c>
      <c r="O243">
        <v>283120</v>
      </c>
      <c r="P243" t="s">
        <v>53</v>
      </c>
      <c r="Q243">
        <v>8</v>
      </c>
      <c r="R243">
        <v>4</v>
      </c>
      <c r="S243" t="s">
        <v>46</v>
      </c>
    </row>
    <row r="244" spans="1:19" x14ac:dyDescent="0.3">
      <c r="A244">
        <v>241</v>
      </c>
      <c r="B244" t="s">
        <v>489</v>
      </c>
      <c r="C244" s="6">
        <v>45532</v>
      </c>
      <c r="D244" s="2" t="str">
        <f t="shared" si="6"/>
        <v>August</v>
      </c>
      <c r="E244" t="s">
        <v>490</v>
      </c>
      <c r="F244">
        <v>54</v>
      </c>
      <c r="G244" t="str">
        <f t="shared" si="7"/>
        <v>Senior</v>
      </c>
      <c r="H244" t="s">
        <v>42</v>
      </c>
      <c r="I244" t="s">
        <v>120</v>
      </c>
      <c r="J244" t="s">
        <v>32</v>
      </c>
      <c r="K244" t="s">
        <v>33</v>
      </c>
      <c r="L244" t="s">
        <v>89</v>
      </c>
      <c r="M244">
        <v>1</v>
      </c>
      <c r="N244">
        <v>8082</v>
      </c>
      <c r="O244">
        <v>8082</v>
      </c>
      <c r="P244" t="s">
        <v>61</v>
      </c>
      <c r="Q244">
        <v>3</v>
      </c>
      <c r="R244">
        <v>1</v>
      </c>
      <c r="S244" t="s">
        <v>28</v>
      </c>
    </row>
    <row r="245" spans="1:19" x14ac:dyDescent="0.3">
      <c r="A245">
        <v>242</v>
      </c>
      <c r="B245" t="s">
        <v>491</v>
      </c>
      <c r="C245" s="6">
        <v>45533</v>
      </c>
      <c r="D245" s="2" t="str">
        <f t="shared" si="6"/>
        <v>August</v>
      </c>
      <c r="E245" t="s">
        <v>492</v>
      </c>
      <c r="F245">
        <v>40</v>
      </c>
      <c r="G245" t="str">
        <f t="shared" si="7"/>
        <v>Adult</v>
      </c>
      <c r="H245" t="s">
        <v>22</v>
      </c>
      <c r="I245" t="s">
        <v>49</v>
      </c>
      <c r="J245" t="s">
        <v>24</v>
      </c>
      <c r="K245" t="s">
        <v>33</v>
      </c>
      <c r="L245" t="s">
        <v>173</v>
      </c>
      <c r="M245">
        <v>4</v>
      </c>
      <c r="N245">
        <v>16082</v>
      </c>
      <c r="O245">
        <v>64328</v>
      </c>
      <c r="P245" t="s">
        <v>27</v>
      </c>
      <c r="Q245">
        <v>1</v>
      </c>
      <c r="R245">
        <v>3</v>
      </c>
      <c r="S245" t="s">
        <v>46</v>
      </c>
    </row>
    <row r="246" spans="1:19" x14ac:dyDescent="0.3">
      <c r="A246">
        <v>243</v>
      </c>
      <c r="B246" t="s">
        <v>493</v>
      </c>
      <c r="C246" s="6">
        <v>45534</v>
      </c>
      <c r="D246" s="2" t="str">
        <f t="shared" si="6"/>
        <v>August</v>
      </c>
      <c r="E246" t="s">
        <v>494</v>
      </c>
      <c r="F246">
        <v>30</v>
      </c>
      <c r="G246" t="str">
        <f t="shared" si="7"/>
        <v>Adult</v>
      </c>
      <c r="H246" t="s">
        <v>22</v>
      </c>
      <c r="I246" t="s">
        <v>43</v>
      </c>
      <c r="J246" t="s">
        <v>24</v>
      </c>
      <c r="K246" t="s">
        <v>44</v>
      </c>
      <c r="L246" t="s">
        <v>45</v>
      </c>
      <c r="M246">
        <v>5</v>
      </c>
      <c r="N246">
        <v>11056</v>
      </c>
      <c r="O246">
        <v>55280</v>
      </c>
      <c r="P246" t="s">
        <v>116</v>
      </c>
      <c r="Q246">
        <v>8</v>
      </c>
      <c r="R246">
        <v>4</v>
      </c>
      <c r="S246" t="s">
        <v>28</v>
      </c>
    </row>
    <row r="247" spans="1:19" x14ac:dyDescent="0.3">
      <c r="A247">
        <v>244</v>
      </c>
      <c r="B247" t="s">
        <v>495</v>
      </c>
      <c r="C247" s="6">
        <v>45535</v>
      </c>
      <c r="D247" s="2" t="str">
        <f t="shared" si="6"/>
        <v>August</v>
      </c>
      <c r="E247" t="s">
        <v>496</v>
      </c>
      <c r="F247">
        <v>38</v>
      </c>
      <c r="G247" t="str">
        <f t="shared" si="7"/>
        <v>Adult</v>
      </c>
      <c r="H247" t="s">
        <v>22</v>
      </c>
      <c r="I247" t="s">
        <v>31</v>
      </c>
      <c r="J247" t="s">
        <v>24</v>
      </c>
      <c r="K247" t="s">
        <v>51</v>
      </c>
      <c r="L247" t="s">
        <v>86</v>
      </c>
      <c r="M247">
        <v>8</v>
      </c>
      <c r="N247">
        <v>465</v>
      </c>
      <c r="O247">
        <v>3720</v>
      </c>
      <c r="P247" t="s">
        <v>99</v>
      </c>
      <c r="Q247">
        <v>5</v>
      </c>
      <c r="R247">
        <v>5</v>
      </c>
      <c r="S247" t="s">
        <v>28</v>
      </c>
    </row>
    <row r="248" spans="1:19" x14ac:dyDescent="0.3">
      <c r="A248">
        <v>245</v>
      </c>
      <c r="B248" t="s">
        <v>497</v>
      </c>
      <c r="C248" s="6">
        <v>45536</v>
      </c>
      <c r="D248" s="2" t="str">
        <f t="shared" si="6"/>
        <v>September</v>
      </c>
      <c r="E248" t="s">
        <v>498</v>
      </c>
      <c r="F248">
        <v>31</v>
      </c>
      <c r="G248" t="str">
        <f t="shared" si="7"/>
        <v>Adult</v>
      </c>
      <c r="H248" t="s">
        <v>22</v>
      </c>
      <c r="I248" t="s">
        <v>31</v>
      </c>
      <c r="J248" t="s">
        <v>65</v>
      </c>
      <c r="K248" t="s">
        <v>51</v>
      </c>
      <c r="L248" t="s">
        <v>111</v>
      </c>
      <c r="M248">
        <v>8</v>
      </c>
      <c r="N248">
        <v>260</v>
      </c>
      <c r="O248">
        <v>2080</v>
      </c>
      <c r="P248" t="s">
        <v>53</v>
      </c>
      <c r="Q248">
        <v>10</v>
      </c>
      <c r="R248">
        <v>2</v>
      </c>
      <c r="S248" t="s">
        <v>46</v>
      </c>
    </row>
    <row r="249" spans="1:19" x14ac:dyDescent="0.3">
      <c r="A249">
        <v>246</v>
      </c>
      <c r="B249" t="s">
        <v>499</v>
      </c>
      <c r="C249" s="6">
        <v>45537</v>
      </c>
      <c r="D249" s="2" t="str">
        <f t="shared" si="6"/>
        <v>September</v>
      </c>
      <c r="E249" t="s">
        <v>500</v>
      </c>
      <c r="F249">
        <v>43</v>
      </c>
      <c r="G249" t="str">
        <f t="shared" si="7"/>
        <v>Adult</v>
      </c>
      <c r="H249" t="s">
        <v>42</v>
      </c>
      <c r="I249" t="s">
        <v>64</v>
      </c>
      <c r="J249" t="s">
        <v>24</v>
      </c>
      <c r="K249" t="s">
        <v>25</v>
      </c>
      <c r="L249" t="s">
        <v>26</v>
      </c>
      <c r="M249">
        <v>8</v>
      </c>
      <c r="N249">
        <v>34234</v>
      </c>
      <c r="O249">
        <v>273872</v>
      </c>
      <c r="P249" t="s">
        <v>27</v>
      </c>
      <c r="Q249">
        <v>3</v>
      </c>
      <c r="R249">
        <v>5</v>
      </c>
      <c r="S249" t="s">
        <v>46</v>
      </c>
    </row>
    <row r="250" spans="1:19" x14ac:dyDescent="0.3">
      <c r="A250">
        <v>247</v>
      </c>
      <c r="B250" t="s">
        <v>501</v>
      </c>
      <c r="C250" s="6">
        <v>45538</v>
      </c>
      <c r="D250" s="2" t="str">
        <f t="shared" si="6"/>
        <v>September</v>
      </c>
      <c r="E250" t="s">
        <v>494</v>
      </c>
      <c r="F250">
        <v>21</v>
      </c>
      <c r="G250" t="str">
        <f t="shared" si="7"/>
        <v>Teenager</v>
      </c>
      <c r="H250" t="s">
        <v>22</v>
      </c>
      <c r="I250" t="s">
        <v>120</v>
      </c>
      <c r="J250" t="s">
        <v>50</v>
      </c>
      <c r="K250" t="s">
        <v>44</v>
      </c>
      <c r="L250" t="s">
        <v>224</v>
      </c>
      <c r="M250">
        <v>3</v>
      </c>
      <c r="N250">
        <v>6036</v>
      </c>
      <c r="O250">
        <v>18108</v>
      </c>
      <c r="P250" t="s">
        <v>53</v>
      </c>
      <c r="Q250">
        <v>3</v>
      </c>
      <c r="R250">
        <v>5</v>
      </c>
      <c r="S250" t="s">
        <v>46</v>
      </c>
    </row>
    <row r="251" spans="1:19" x14ac:dyDescent="0.3">
      <c r="A251">
        <v>248</v>
      </c>
      <c r="B251" t="s">
        <v>502</v>
      </c>
      <c r="C251" s="6">
        <v>45539</v>
      </c>
      <c r="D251" s="2" t="str">
        <f t="shared" si="6"/>
        <v>September</v>
      </c>
      <c r="E251" t="s">
        <v>503</v>
      </c>
      <c r="F251">
        <v>37</v>
      </c>
      <c r="G251" t="str">
        <f t="shared" si="7"/>
        <v>Adult</v>
      </c>
      <c r="H251" t="s">
        <v>22</v>
      </c>
      <c r="I251" t="s">
        <v>102</v>
      </c>
      <c r="J251" t="s">
        <v>32</v>
      </c>
      <c r="K251" t="s">
        <v>44</v>
      </c>
      <c r="L251" t="s">
        <v>224</v>
      </c>
      <c r="M251">
        <v>1</v>
      </c>
      <c r="N251">
        <v>19826</v>
      </c>
      <c r="O251">
        <v>19826</v>
      </c>
      <c r="P251" t="s">
        <v>53</v>
      </c>
      <c r="Q251">
        <v>6</v>
      </c>
      <c r="R251">
        <v>4</v>
      </c>
      <c r="S251" t="s">
        <v>28</v>
      </c>
    </row>
    <row r="252" spans="1:19" x14ac:dyDescent="0.3">
      <c r="A252">
        <v>249</v>
      </c>
      <c r="B252" t="s">
        <v>504</v>
      </c>
      <c r="C252" s="6">
        <v>45540</v>
      </c>
      <c r="D252" s="2" t="str">
        <f t="shared" si="6"/>
        <v>September</v>
      </c>
      <c r="E252" t="s">
        <v>137</v>
      </c>
      <c r="F252">
        <v>40</v>
      </c>
      <c r="G252" t="str">
        <f t="shared" si="7"/>
        <v>Adult</v>
      </c>
      <c r="H252" t="s">
        <v>22</v>
      </c>
      <c r="I252" t="s">
        <v>43</v>
      </c>
      <c r="J252" t="s">
        <v>50</v>
      </c>
      <c r="K252" t="s">
        <v>38</v>
      </c>
      <c r="L252" t="s">
        <v>135</v>
      </c>
      <c r="M252">
        <v>4</v>
      </c>
      <c r="N252">
        <v>33463</v>
      </c>
      <c r="O252">
        <v>133852</v>
      </c>
      <c r="P252" t="s">
        <v>53</v>
      </c>
      <c r="Q252">
        <v>5</v>
      </c>
      <c r="R252">
        <v>3</v>
      </c>
      <c r="S252" t="s">
        <v>28</v>
      </c>
    </row>
    <row r="253" spans="1:19" x14ac:dyDescent="0.3">
      <c r="A253">
        <v>250</v>
      </c>
      <c r="B253" t="s">
        <v>505</v>
      </c>
      <c r="C253" s="6">
        <v>45541</v>
      </c>
      <c r="D253" s="2" t="str">
        <f t="shared" si="6"/>
        <v>September</v>
      </c>
      <c r="E253" t="s">
        <v>506</v>
      </c>
      <c r="F253">
        <v>58</v>
      </c>
      <c r="G253" t="str">
        <f t="shared" si="7"/>
        <v>Senior</v>
      </c>
      <c r="H253" t="s">
        <v>42</v>
      </c>
      <c r="I253" t="s">
        <v>43</v>
      </c>
      <c r="J253" t="s">
        <v>65</v>
      </c>
      <c r="K253" t="s">
        <v>33</v>
      </c>
      <c r="L253" t="s">
        <v>89</v>
      </c>
      <c r="M253">
        <v>8</v>
      </c>
      <c r="N253">
        <v>22746</v>
      </c>
      <c r="O253">
        <v>181968</v>
      </c>
      <c r="P253" t="s">
        <v>61</v>
      </c>
      <c r="Q253">
        <v>9</v>
      </c>
      <c r="R253">
        <v>3</v>
      </c>
      <c r="S253" t="s">
        <v>28</v>
      </c>
    </row>
    <row r="254" spans="1:19" x14ac:dyDescent="0.3">
      <c r="A254">
        <v>251</v>
      </c>
      <c r="B254" t="s">
        <v>507</v>
      </c>
      <c r="C254" s="6">
        <v>45542</v>
      </c>
      <c r="D254" s="2" t="str">
        <f t="shared" si="6"/>
        <v>September</v>
      </c>
      <c r="E254" t="s">
        <v>508</v>
      </c>
      <c r="F254">
        <v>40</v>
      </c>
      <c r="G254" t="str">
        <f t="shared" si="7"/>
        <v>Adult</v>
      </c>
      <c r="H254" t="s">
        <v>42</v>
      </c>
      <c r="I254" t="s">
        <v>37</v>
      </c>
      <c r="J254" t="s">
        <v>24</v>
      </c>
      <c r="K254" t="s">
        <v>38</v>
      </c>
      <c r="L254" t="s">
        <v>71</v>
      </c>
      <c r="M254">
        <v>10</v>
      </c>
      <c r="N254">
        <v>634</v>
      </c>
      <c r="O254">
        <v>6340</v>
      </c>
      <c r="P254" t="s">
        <v>61</v>
      </c>
      <c r="Q254">
        <v>1</v>
      </c>
      <c r="R254">
        <v>4</v>
      </c>
      <c r="S254" t="s">
        <v>28</v>
      </c>
    </row>
    <row r="255" spans="1:19" x14ac:dyDescent="0.3">
      <c r="A255">
        <v>252</v>
      </c>
      <c r="B255" t="s">
        <v>509</v>
      </c>
      <c r="C255" s="6">
        <v>45543</v>
      </c>
      <c r="D255" s="2" t="str">
        <f t="shared" si="6"/>
        <v>September</v>
      </c>
      <c r="E255" t="s">
        <v>510</v>
      </c>
      <c r="F255">
        <v>20</v>
      </c>
      <c r="G255" t="str">
        <f t="shared" si="7"/>
        <v>Teenager</v>
      </c>
      <c r="H255" t="s">
        <v>42</v>
      </c>
      <c r="I255" t="s">
        <v>23</v>
      </c>
      <c r="J255" t="s">
        <v>32</v>
      </c>
      <c r="K255" t="s">
        <v>38</v>
      </c>
      <c r="L255" t="s">
        <v>71</v>
      </c>
      <c r="M255">
        <v>8</v>
      </c>
      <c r="N255">
        <v>27608</v>
      </c>
      <c r="O255">
        <v>220864</v>
      </c>
      <c r="P255" t="s">
        <v>116</v>
      </c>
      <c r="Q255">
        <v>6</v>
      </c>
      <c r="R255">
        <v>2</v>
      </c>
      <c r="S255" t="s">
        <v>28</v>
      </c>
    </row>
    <row r="256" spans="1:19" x14ac:dyDescent="0.3">
      <c r="A256">
        <v>253</v>
      </c>
      <c r="B256" t="s">
        <v>511</v>
      </c>
      <c r="C256" s="6">
        <v>45544</v>
      </c>
      <c r="D256" s="2" t="str">
        <f t="shared" si="6"/>
        <v>September</v>
      </c>
      <c r="E256" t="s">
        <v>512</v>
      </c>
      <c r="F256">
        <v>39</v>
      </c>
      <c r="G256" t="str">
        <f t="shared" si="7"/>
        <v>Adult</v>
      </c>
      <c r="H256" t="s">
        <v>42</v>
      </c>
      <c r="I256" t="s">
        <v>80</v>
      </c>
      <c r="J256" t="s">
        <v>50</v>
      </c>
      <c r="K256" t="s">
        <v>44</v>
      </c>
      <c r="L256" t="s">
        <v>224</v>
      </c>
      <c r="M256">
        <v>10</v>
      </c>
      <c r="N256">
        <v>37299</v>
      </c>
      <c r="O256">
        <v>372990</v>
      </c>
      <c r="P256" t="s">
        <v>53</v>
      </c>
      <c r="Q256">
        <v>10</v>
      </c>
      <c r="R256">
        <v>3</v>
      </c>
      <c r="S256" t="s">
        <v>28</v>
      </c>
    </row>
    <row r="257" spans="1:19" x14ac:dyDescent="0.3">
      <c r="A257">
        <v>254</v>
      </c>
      <c r="B257" t="s">
        <v>513</v>
      </c>
      <c r="C257" s="6">
        <v>45545</v>
      </c>
      <c r="D257" s="2" t="str">
        <f t="shared" si="6"/>
        <v>September</v>
      </c>
      <c r="E257" t="s">
        <v>399</v>
      </c>
      <c r="F257">
        <v>50</v>
      </c>
      <c r="G257" t="str">
        <f t="shared" si="7"/>
        <v>Senior</v>
      </c>
      <c r="H257" t="s">
        <v>42</v>
      </c>
      <c r="I257" t="s">
        <v>43</v>
      </c>
      <c r="J257" t="s">
        <v>65</v>
      </c>
      <c r="K257" t="s">
        <v>38</v>
      </c>
      <c r="L257" t="s">
        <v>96</v>
      </c>
      <c r="M257">
        <v>8</v>
      </c>
      <c r="N257">
        <v>25489</v>
      </c>
      <c r="O257">
        <v>203912</v>
      </c>
      <c r="P257" t="s">
        <v>99</v>
      </c>
      <c r="Q257">
        <v>4</v>
      </c>
      <c r="R257">
        <v>4</v>
      </c>
      <c r="S257" t="s">
        <v>46</v>
      </c>
    </row>
    <row r="258" spans="1:19" x14ac:dyDescent="0.3">
      <c r="A258">
        <v>255</v>
      </c>
      <c r="B258" t="s">
        <v>514</v>
      </c>
      <c r="C258" s="6">
        <v>45546</v>
      </c>
      <c r="D258" s="2" t="str">
        <f t="shared" si="6"/>
        <v>September</v>
      </c>
      <c r="E258" t="s">
        <v>186</v>
      </c>
      <c r="F258">
        <v>52</v>
      </c>
      <c r="G258" t="str">
        <f t="shared" si="7"/>
        <v>Senior</v>
      </c>
      <c r="H258" t="s">
        <v>42</v>
      </c>
      <c r="I258" t="s">
        <v>70</v>
      </c>
      <c r="J258" t="s">
        <v>65</v>
      </c>
      <c r="K258" t="s">
        <v>44</v>
      </c>
      <c r="L258" t="s">
        <v>121</v>
      </c>
      <c r="M258">
        <v>7</v>
      </c>
      <c r="N258">
        <v>9712</v>
      </c>
      <c r="O258">
        <v>67984</v>
      </c>
      <c r="P258" t="s">
        <v>61</v>
      </c>
      <c r="Q258">
        <v>3</v>
      </c>
      <c r="R258">
        <v>3</v>
      </c>
      <c r="S258" t="s">
        <v>46</v>
      </c>
    </row>
    <row r="259" spans="1:19" x14ac:dyDescent="0.3">
      <c r="A259">
        <v>256</v>
      </c>
      <c r="B259" t="s">
        <v>515</v>
      </c>
      <c r="C259" s="6">
        <v>45547</v>
      </c>
      <c r="D259" s="2" t="str">
        <f t="shared" si="6"/>
        <v>September</v>
      </c>
      <c r="E259" t="s">
        <v>146</v>
      </c>
      <c r="F259">
        <v>36</v>
      </c>
      <c r="G259" t="str">
        <f t="shared" si="7"/>
        <v>Adult</v>
      </c>
      <c r="H259" t="s">
        <v>42</v>
      </c>
      <c r="I259" t="s">
        <v>43</v>
      </c>
      <c r="J259" t="s">
        <v>32</v>
      </c>
      <c r="K259" t="s">
        <v>33</v>
      </c>
      <c r="L259" t="s">
        <v>34</v>
      </c>
      <c r="M259">
        <v>1</v>
      </c>
      <c r="N259">
        <v>19218</v>
      </c>
      <c r="O259">
        <v>19218</v>
      </c>
      <c r="P259" t="s">
        <v>53</v>
      </c>
      <c r="Q259">
        <v>4</v>
      </c>
      <c r="R259">
        <v>5</v>
      </c>
      <c r="S259" t="s">
        <v>28</v>
      </c>
    </row>
    <row r="260" spans="1:19" x14ac:dyDescent="0.3">
      <c r="A260">
        <v>257</v>
      </c>
      <c r="B260" t="s">
        <v>516</v>
      </c>
      <c r="C260" s="6">
        <v>45548</v>
      </c>
      <c r="D260" s="2" t="str">
        <f t="shared" ref="D260:D323" si="8">TEXT(C260,"mmmm")</f>
        <v>September</v>
      </c>
      <c r="E260" t="s">
        <v>371</v>
      </c>
      <c r="F260">
        <v>59</v>
      </c>
      <c r="G260" t="str">
        <f t="shared" ref="G260:G323" si="9">IF(F260&gt;=50,"Senior",IF(F260&gt;=30,"Adult","Teenager"))</f>
        <v>Senior</v>
      </c>
      <c r="H260" t="s">
        <v>22</v>
      </c>
      <c r="I260" t="s">
        <v>31</v>
      </c>
      <c r="J260" t="s">
        <v>65</v>
      </c>
      <c r="K260" t="s">
        <v>33</v>
      </c>
      <c r="L260" t="s">
        <v>89</v>
      </c>
      <c r="M260">
        <v>6</v>
      </c>
      <c r="N260">
        <v>13312</v>
      </c>
      <c r="O260">
        <v>79872</v>
      </c>
      <c r="P260" t="s">
        <v>27</v>
      </c>
      <c r="Q260">
        <v>7</v>
      </c>
      <c r="R260">
        <v>3</v>
      </c>
      <c r="S260" t="s">
        <v>28</v>
      </c>
    </row>
    <row r="261" spans="1:19" x14ac:dyDescent="0.3">
      <c r="A261">
        <v>258</v>
      </c>
      <c r="B261" t="s">
        <v>517</v>
      </c>
      <c r="C261" s="6">
        <v>45549</v>
      </c>
      <c r="D261" s="2" t="str">
        <f t="shared" si="8"/>
        <v>September</v>
      </c>
      <c r="E261" t="s">
        <v>343</v>
      </c>
      <c r="F261">
        <v>50</v>
      </c>
      <c r="G261" t="str">
        <f t="shared" si="9"/>
        <v>Senior</v>
      </c>
      <c r="H261" t="s">
        <v>22</v>
      </c>
      <c r="I261" t="s">
        <v>23</v>
      </c>
      <c r="J261" t="s">
        <v>50</v>
      </c>
      <c r="K261" t="s">
        <v>25</v>
      </c>
      <c r="L261" t="s">
        <v>189</v>
      </c>
      <c r="M261">
        <v>2</v>
      </c>
      <c r="N261">
        <v>8723</v>
      </c>
      <c r="O261">
        <v>17446</v>
      </c>
      <c r="P261" t="s">
        <v>116</v>
      </c>
      <c r="Q261">
        <v>6</v>
      </c>
      <c r="R261">
        <v>4</v>
      </c>
      <c r="S261" t="s">
        <v>28</v>
      </c>
    </row>
    <row r="262" spans="1:19" x14ac:dyDescent="0.3">
      <c r="A262">
        <v>259</v>
      </c>
      <c r="B262" t="s">
        <v>518</v>
      </c>
      <c r="C262" s="6">
        <v>45550</v>
      </c>
      <c r="D262" s="2" t="str">
        <f t="shared" si="8"/>
        <v>September</v>
      </c>
      <c r="E262" t="s">
        <v>519</v>
      </c>
      <c r="F262">
        <v>42</v>
      </c>
      <c r="G262" t="str">
        <f t="shared" si="9"/>
        <v>Adult</v>
      </c>
      <c r="H262" t="s">
        <v>22</v>
      </c>
      <c r="I262" t="s">
        <v>43</v>
      </c>
      <c r="J262" t="s">
        <v>24</v>
      </c>
      <c r="K262" t="s">
        <v>44</v>
      </c>
      <c r="L262" t="s">
        <v>178</v>
      </c>
      <c r="M262">
        <v>8</v>
      </c>
      <c r="N262">
        <v>36987</v>
      </c>
      <c r="O262">
        <v>295896</v>
      </c>
      <c r="P262" t="s">
        <v>53</v>
      </c>
      <c r="Q262">
        <v>2</v>
      </c>
      <c r="R262">
        <v>2</v>
      </c>
      <c r="S262" t="s">
        <v>28</v>
      </c>
    </row>
    <row r="263" spans="1:19" x14ac:dyDescent="0.3">
      <c r="A263">
        <v>260</v>
      </c>
      <c r="B263" t="s">
        <v>520</v>
      </c>
      <c r="C263" s="6">
        <v>45551</v>
      </c>
      <c r="D263" s="2" t="str">
        <f t="shared" si="8"/>
        <v>September</v>
      </c>
      <c r="E263" t="s">
        <v>521</v>
      </c>
      <c r="F263">
        <v>59</v>
      </c>
      <c r="G263" t="str">
        <f t="shared" si="9"/>
        <v>Senior</v>
      </c>
      <c r="H263" t="s">
        <v>22</v>
      </c>
      <c r="I263" t="s">
        <v>43</v>
      </c>
      <c r="J263" t="s">
        <v>65</v>
      </c>
      <c r="K263" t="s">
        <v>25</v>
      </c>
      <c r="L263" t="s">
        <v>77</v>
      </c>
      <c r="M263">
        <v>2</v>
      </c>
      <c r="N263">
        <v>22073</v>
      </c>
      <c r="O263">
        <v>44146</v>
      </c>
      <c r="P263" t="s">
        <v>53</v>
      </c>
      <c r="Q263">
        <v>10</v>
      </c>
      <c r="R263">
        <v>5</v>
      </c>
      <c r="S263" t="s">
        <v>46</v>
      </c>
    </row>
    <row r="264" spans="1:19" x14ac:dyDescent="0.3">
      <c r="A264">
        <v>261</v>
      </c>
      <c r="B264" t="s">
        <v>522</v>
      </c>
      <c r="C264" s="6">
        <v>45552</v>
      </c>
      <c r="D264" s="2" t="str">
        <f t="shared" si="8"/>
        <v>September</v>
      </c>
      <c r="E264" t="s">
        <v>496</v>
      </c>
      <c r="F264">
        <v>49</v>
      </c>
      <c r="G264" t="str">
        <f t="shared" si="9"/>
        <v>Adult</v>
      </c>
      <c r="H264" t="s">
        <v>42</v>
      </c>
      <c r="I264" t="s">
        <v>37</v>
      </c>
      <c r="J264" t="s">
        <v>32</v>
      </c>
      <c r="K264" t="s">
        <v>38</v>
      </c>
      <c r="L264" t="s">
        <v>71</v>
      </c>
      <c r="M264">
        <v>3</v>
      </c>
      <c r="N264">
        <v>46951</v>
      </c>
      <c r="O264">
        <v>140853</v>
      </c>
      <c r="P264" t="s">
        <v>27</v>
      </c>
      <c r="Q264">
        <v>2</v>
      </c>
      <c r="R264">
        <v>3</v>
      </c>
      <c r="S264" t="s">
        <v>28</v>
      </c>
    </row>
    <row r="265" spans="1:19" x14ac:dyDescent="0.3">
      <c r="A265">
        <v>262</v>
      </c>
      <c r="B265" t="s">
        <v>523</v>
      </c>
      <c r="C265" s="6">
        <v>45553</v>
      </c>
      <c r="D265" s="2" t="str">
        <f t="shared" si="8"/>
        <v>September</v>
      </c>
      <c r="E265" t="s">
        <v>524</v>
      </c>
      <c r="F265">
        <v>48</v>
      </c>
      <c r="G265" t="str">
        <f t="shared" si="9"/>
        <v>Adult</v>
      </c>
      <c r="H265" t="s">
        <v>42</v>
      </c>
      <c r="I265" t="s">
        <v>120</v>
      </c>
      <c r="J265" t="s">
        <v>32</v>
      </c>
      <c r="K265" t="s">
        <v>33</v>
      </c>
      <c r="L265" t="s">
        <v>34</v>
      </c>
      <c r="M265">
        <v>9</v>
      </c>
      <c r="N265">
        <v>21277</v>
      </c>
      <c r="O265">
        <v>191493</v>
      </c>
      <c r="P265" t="s">
        <v>53</v>
      </c>
      <c r="Q265">
        <v>7</v>
      </c>
      <c r="R265">
        <v>4</v>
      </c>
      <c r="S265" t="s">
        <v>28</v>
      </c>
    </row>
    <row r="266" spans="1:19" x14ac:dyDescent="0.3">
      <c r="A266">
        <v>263</v>
      </c>
      <c r="B266" t="s">
        <v>525</v>
      </c>
      <c r="C266" s="6">
        <v>45554</v>
      </c>
      <c r="D266" s="2" t="str">
        <f t="shared" si="8"/>
        <v>September</v>
      </c>
      <c r="E266" t="s">
        <v>526</v>
      </c>
      <c r="F266">
        <v>38</v>
      </c>
      <c r="G266" t="str">
        <f t="shared" si="9"/>
        <v>Adult</v>
      </c>
      <c r="H266" t="s">
        <v>22</v>
      </c>
      <c r="I266" t="s">
        <v>49</v>
      </c>
      <c r="J266" t="s">
        <v>32</v>
      </c>
      <c r="K266" t="s">
        <v>44</v>
      </c>
      <c r="L266" t="s">
        <v>91</v>
      </c>
      <c r="M266">
        <v>6</v>
      </c>
      <c r="N266">
        <v>44931</v>
      </c>
      <c r="O266">
        <v>269586</v>
      </c>
      <c r="P266" t="s">
        <v>99</v>
      </c>
      <c r="Q266">
        <v>1</v>
      </c>
      <c r="R266">
        <v>1</v>
      </c>
      <c r="S266" t="s">
        <v>28</v>
      </c>
    </row>
    <row r="267" spans="1:19" x14ac:dyDescent="0.3">
      <c r="A267">
        <v>264</v>
      </c>
      <c r="B267" t="s">
        <v>527</v>
      </c>
      <c r="C267" s="6">
        <v>45555</v>
      </c>
      <c r="D267" s="2" t="str">
        <f t="shared" si="8"/>
        <v>September</v>
      </c>
      <c r="E267" t="s">
        <v>217</v>
      </c>
      <c r="F267">
        <v>35</v>
      </c>
      <c r="G267" t="str">
        <f t="shared" si="9"/>
        <v>Adult</v>
      </c>
      <c r="H267" t="s">
        <v>42</v>
      </c>
      <c r="I267" t="s">
        <v>37</v>
      </c>
      <c r="J267" t="s">
        <v>24</v>
      </c>
      <c r="K267" t="s">
        <v>33</v>
      </c>
      <c r="L267" t="s">
        <v>160</v>
      </c>
      <c r="M267">
        <v>3</v>
      </c>
      <c r="N267">
        <v>9270</v>
      </c>
      <c r="O267">
        <v>27810</v>
      </c>
      <c r="P267" t="s">
        <v>53</v>
      </c>
      <c r="Q267">
        <v>6</v>
      </c>
      <c r="R267">
        <v>5</v>
      </c>
      <c r="S267" t="s">
        <v>46</v>
      </c>
    </row>
    <row r="268" spans="1:19" x14ac:dyDescent="0.3">
      <c r="A268">
        <v>265</v>
      </c>
      <c r="B268" t="s">
        <v>528</v>
      </c>
      <c r="C268" s="6">
        <v>45556</v>
      </c>
      <c r="D268" s="2" t="str">
        <f t="shared" si="8"/>
        <v>September</v>
      </c>
      <c r="E268" t="s">
        <v>529</v>
      </c>
      <c r="F268">
        <v>53</v>
      </c>
      <c r="G268" t="str">
        <f t="shared" si="9"/>
        <v>Senior</v>
      </c>
      <c r="H268" t="s">
        <v>22</v>
      </c>
      <c r="I268" t="s">
        <v>31</v>
      </c>
      <c r="J268" t="s">
        <v>65</v>
      </c>
      <c r="K268" t="s">
        <v>25</v>
      </c>
      <c r="L268" t="s">
        <v>124</v>
      </c>
      <c r="M268">
        <v>1</v>
      </c>
      <c r="N268">
        <v>35585</v>
      </c>
      <c r="O268">
        <v>35585</v>
      </c>
      <c r="P268" t="s">
        <v>61</v>
      </c>
      <c r="Q268">
        <v>5</v>
      </c>
      <c r="R268">
        <v>2</v>
      </c>
      <c r="S268" t="s">
        <v>28</v>
      </c>
    </row>
    <row r="269" spans="1:19" x14ac:dyDescent="0.3">
      <c r="A269">
        <v>266</v>
      </c>
      <c r="B269" t="s">
        <v>530</v>
      </c>
      <c r="C269" s="6">
        <v>45557</v>
      </c>
      <c r="D269" s="2" t="str">
        <f t="shared" si="8"/>
        <v>September</v>
      </c>
      <c r="E269" t="s">
        <v>531</v>
      </c>
      <c r="F269">
        <v>19</v>
      </c>
      <c r="G269" t="str">
        <f t="shared" si="9"/>
        <v>Teenager</v>
      </c>
      <c r="H269" t="s">
        <v>22</v>
      </c>
      <c r="I269" t="s">
        <v>23</v>
      </c>
      <c r="J269" t="s">
        <v>65</v>
      </c>
      <c r="K269" t="s">
        <v>25</v>
      </c>
      <c r="L269" t="s">
        <v>124</v>
      </c>
      <c r="M269">
        <v>3</v>
      </c>
      <c r="N269">
        <v>4738</v>
      </c>
      <c r="O269">
        <v>14214</v>
      </c>
      <c r="P269" t="s">
        <v>53</v>
      </c>
      <c r="Q269">
        <v>7</v>
      </c>
      <c r="R269">
        <v>1</v>
      </c>
      <c r="S269" t="s">
        <v>28</v>
      </c>
    </row>
    <row r="270" spans="1:19" x14ac:dyDescent="0.3">
      <c r="A270">
        <v>267</v>
      </c>
      <c r="B270" t="s">
        <v>532</v>
      </c>
      <c r="C270" s="6">
        <v>45558</v>
      </c>
      <c r="D270" s="2" t="str">
        <f t="shared" si="8"/>
        <v>September</v>
      </c>
      <c r="E270" t="s">
        <v>490</v>
      </c>
      <c r="F270">
        <v>30</v>
      </c>
      <c r="G270" t="str">
        <f t="shared" si="9"/>
        <v>Adult</v>
      </c>
      <c r="H270" t="s">
        <v>22</v>
      </c>
      <c r="I270" t="s">
        <v>49</v>
      </c>
      <c r="J270" t="s">
        <v>32</v>
      </c>
      <c r="K270" t="s">
        <v>38</v>
      </c>
      <c r="L270" t="s">
        <v>96</v>
      </c>
      <c r="M270">
        <v>8</v>
      </c>
      <c r="N270">
        <v>23857</v>
      </c>
      <c r="O270">
        <v>190856</v>
      </c>
      <c r="P270" t="s">
        <v>61</v>
      </c>
      <c r="Q270">
        <v>4</v>
      </c>
      <c r="R270">
        <v>1</v>
      </c>
      <c r="S270" t="s">
        <v>28</v>
      </c>
    </row>
    <row r="271" spans="1:19" x14ac:dyDescent="0.3">
      <c r="A271">
        <v>268</v>
      </c>
      <c r="B271" t="s">
        <v>533</v>
      </c>
      <c r="C271" s="6">
        <v>45559</v>
      </c>
      <c r="D271" s="2" t="str">
        <f t="shared" si="8"/>
        <v>September</v>
      </c>
      <c r="E271" t="s">
        <v>534</v>
      </c>
      <c r="F271">
        <v>36</v>
      </c>
      <c r="G271" t="str">
        <f t="shared" si="9"/>
        <v>Adult</v>
      </c>
      <c r="H271" t="s">
        <v>42</v>
      </c>
      <c r="I271" t="s">
        <v>70</v>
      </c>
      <c r="J271" t="s">
        <v>50</v>
      </c>
      <c r="K271" t="s">
        <v>44</v>
      </c>
      <c r="L271" t="s">
        <v>91</v>
      </c>
      <c r="M271">
        <v>6</v>
      </c>
      <c r="N271">
        <v>49435</v>
      </c>
      <c r="O271">
        <v>296610</v>
      </c>
      <c r="P271" t="s">
        <v>116</v>
      </c>
      <c r="Q271">
        <v>7</v>
      </c>
      <c r="R271">
        <v>5</v>
      </c>
      <c r="S271" t="s">
        <v>28</v>
      </c>
    </row>
    <row r="272" spans="1:19" x14ac:dyDescent="0.3">
      <c r="A272">
        <v>269</v>
      </c>
      <c r="B272" t="s">
        <v>535</v>
      </c>
      <c r="C272" s="6">
        <v>45560</v>
      </c>
      <c r="D272" s="2" t="str">
        <f t="shared" si="8"/>
        <v>September</v>
      </c>
      <c r="E272" t="s">
        <v>536</v>
      </c>
      <c r="F272">
        <v>56</v>
      </c>
      <c r="G272" t="str">
        <f t="shared" si="9"/>
        <v>Senior</v>
      </c>
      <c r="H272" t="s">
        <v>42</v>
      </c>
      <c r="I272" t="s">
        <v>31</v>
      </c>
      <c r="J272" t="s">
        <v>32</v>
      </c>
      <c r="K272" t="s">
        <v>44</v>
      </c>
      <c r="L272" t="s">
        <v>91</v>
      </c>
      <c r="M272">
        <v>4</v>
      </c>
      <c r="N272">
        <v>29639</v>
      </c>
      <c r="O272">
        <v>118556</v>
      </c>
      <c r="P272" t="s">
        <v>61</v>
      </c>
      <c r="Q272">
        <v>5</v>
      </c>
      <c r="R272">
        <v>1</v>
      </c>
      <c r="S272" t="s">
        <v>46</v>
      </c>
    </row>
    <row r="273" spans="1:19" x14ac:dyDescent="0.3">
      <c r="A273">
        <v>270</v>
      </c>
      <c r="B273" t="s">
        <v>537</v>
      </c>
      <c r="C273" s="6">
        <v>45561</v>
      </c>
      <c r="D273" s="2" t="str">
        <f t="shared" si="8"/>
        <v>September</v>
      </c>
      <c r="E273" t="s">
        <v>538</v>
      </c>
      <c r="F273">
        <v>18</v>
      </c>
      <c r="G273" t="str">
        <f t="shared" si="9"/>
        <v>Teenager</v>
      </c>
      <c r="H273" t="s">
        <v>42</v>
      </c>
      <c r="I273" t="s">
        <v>31</v>
      </c>
      <c r="J273" t="s">
        <v>65</v>
      </c>
      <c r="K273" t="s">
        <v>38</v>
      </c>
      <c r="L273" t="s">
        <v>39</v>
      </c>
      <c r="M273">
        <v>7</v>
      </c>
      <c r="N273">
        <v>31734</v>
      </c>
      <c r="O273">
        <v>222138</v>
      </c>
      <c r="P273" t="s">
        <v>61</v>
      </c>
      <c r="Q273">
        <v>5</v>
      </c>
      <c r="R273">
        <v>5</v>
      </c>
      <c r="S273" t="s">
        <v>28</v>
      </c>
    </row>
    <row r="274" spans="1:19" x14ac:dyDescent="0.3">
      <c r="A274">
        <v>271</v>
      </c>
      <c r="B274" t="s">
        <v>539</v>
      </c>
      <c r="C274" s="6">
        <v>45562</v>
      </c>
      <c r="D274" s="2" t="str">
        <f t="shared" si="8"/>
        <v>September</v>
      </c>
      <c r="E274" t="s">
        <v>76</v>
      </c>
      <c r="F274">
        <v>43</v>
      </c>
      <c r="G274" t="str">
        <f t="shared" si="9"/>
        <v>Adult</v>
      </c>
      <c r="H274" t="s">
        <v>42</v>
      </c>
      <c r="I274" t="s">
        <v>70</v>
      </c>
      <c r="J274" t="s">
        <v>65</v>
      </c>
      <c r="K274" t="s">
        <v>38</v>
      </c>
      <c r="L274" t="s">
        <v>71</v>
      </c>
      <c r="M274">
        <v>10</v>
      </c>
      <c r="N274">
        <v>49044</v>
      </c>
      <c r="O274">
        <v>490440</v>
      </c>
      <c r="P274" t="s">
        <v>99</v>
      </c>
      <c r="Q274">
        <v>9</v>
      </c>
      <c r="R274">
        <v>4</v>
      </c>
      <c r="S274" t="s">
        <v>28</v>
      </c>
    </row>
    <row r="275" spans="1:19" x14ac:dyDescent="0.3">
      <c r="A275">
        <v>272</v>
      </c>
      <c r="B275" t="s">
        <v>540</v>
      </c>
      <c r="C275" s="6">
        <v>45563</v>
      </c>
      <c r="D275" s="2" t="str">
        <f t="shared" si="8"/>
        <v>September</v>
      </c>
      <c r="E275" t="s">
        <v>541</v>
      </c>
      <c r="F275">
        <v>33</v>
      </c>
      <c r="G275" t="str">
        <f t="shared" si="9"/>
        <v>Adult</v>
      </c>
      <c r="H275" t="s">
        <v>22</v>
      </c>
      <c r="I275" t="s">
        <v>102</v>
      </c>
      <c r="J275" t="s">
        <v>65</v>
      </c>
      <c r="K275" t="s">
        <v>33</v>
      </c>
      <c r="L275" t="s">
        <v>173</v>
      </c>
      <c r="M275">
        <v>10</v>
      </c>
      <c r="N275">
        <v>10502</v>
      </c>
      <c r="O275">
        <v>105020</v>
      </c>
      <c r="P275" t="s">
        <v>53</v>
      </c>
      <c r="Q275">
        <v>5</v>
      </c>
      <c r="R275">
        <v>5</v>
      </c>
      <c r="S275" t="s">
        <v>46</v>
      </c>
    </row>
    <row r="276" spans="1:19" x14ac:dyDescent="0.3">
      <c r="A276">
        <v>273</v>
      </c>
      <c r="B276" t="s">
        <v>542</v>
      </c>
      <c r="C276" s="6">
        <v>45564</v>
      </c>
      <c r="D276" s="2" t="str">
        <f t="shared" si="8"/>
        <v>September</v>
      </c>
      <c r="E276" t="s">
        <v>543</v>
      </c>
      <c r="F276">
        <v>27</v>
      </c>
      <c r="G276" t="str">
        <f t="shared" si="9"/>
        <v>Teenager</v>
      </c>
      <c r="H276" t="s">
        <v>22</v>
      </c>
      <c r="I276" t="s">
        <v>70</v>
      </c>
      <c r="J276" t="s">
        <v>24</v>
      </c>
      <c r="K276" t="s">
        <v>44</v>
      </c>
      <c r="L276" t="s">
        <v>224</v>
      </c>
      <c r="M276">
        <v>5</v>
      </c>
      <c r="N276">
        <v>33123</v>
      </c>
      <c r="O276">
        <v>165615</v>
      </c>
      <c r="P276" t="s">
        <v>99</v>
      </c>
      <c r="Q276">
        <v>5</v>
      </c>
      <c r="R276">
        <v>5</v>
      </c>
      <c r="S276" t="s">
        <v>28</v>
      </c>
    </row>
    <row r="277" spans="1:19" x14ac:dyDescent="0.3">
      <c r="A277">
        <v>274</v>
      </c>
      <c r="B277" t="s">
        <v>544</v>
      </c>
      <c r="C277" s="6">
        <v>45565</v>
      </c>
      <c r="D277" s="2" t="str">
        <f t="shared" si="8"/>
        <v>September</v>
      </c>
      <c r="E277" t="s">
        <v>545</v>
      </c>
      <c r="F277">
        <v>52</v>
      </c>
      <c r="G277" t="str">
        <f t="shared" si="9"/>
        <v>Senior</v>
      </c>
      <c r="H277" t="s">
        <v>42</v>
      </c>
      <c r="I277" t="s">
        <v>37</v>
      </c>
      <c r="J277" t="s">
        <v>65</v>
      </c>
      <c r="K277" t="s">
        <v>25</v>
      </c>
      <c r="L277" t="s">
        <v>189</v>
      </c>
      <c r="M277">
        <v>9</v>
      </c>
      <c r="N277">
        <v>1505</v>
      </c>
      <c r="O277">
        <v>13545</v>
      </c>
      <c r="P277" t="s">
        <v>99</v>
      </c>
      <c r="Q277">
        <v>7</v>
      </c>
      <c r="R277">
        <v>1</v>
      </c>
      <c r="S277" t="s">
        <v>28</v>
      </c>
    </row>
    <row r="278" spans="1:19" x14ac:dyDescent="0.3">
      <c r="A278">
        <v>275</v>
      </c>
      <c r="B278" t="s">
        <v>546</v>
      </c>
      <c r="C278" s="6">
        <v>45566</v>
      </c>
      <c r="D278" s="2" t="str">
        <f t="shared" si="8"/>
        <v>October</v>
      </c>
      <c r="E278" t="s">
        <v>547</v>
      </c>
      <c r="F278">
        <v>19</v>
      </c>
      <c r="G278" t="str">
        <f t="shared" si="9"/>
        <v>Teenager</v>
      </c>
      <c r="H278" t="s">
        <v>42</v>
      </c>
      <c r="I278" t="s">
        <v>120</v>
      </c>
      <c r="J278" t="s">
        <v>32</v>
      </c>
      <c r="K278" t="s">
        <v>38</v>
      </c>
      <c r="L278" t="s">
        <v>39</v>
      </c>
      <c r="M278">
        <v>1</v>
      </c>
      <c r="N278">
        <v>15203</v>
      </c>
      <c r="O278">
        <v>15203</v>
      </c>
      <c r="P278" t="s">
        <v>99</v>
      </c>
      <c r="Q278">
        <v>1</v>
      </c>
      <c r="R278">
        <v>3</v>
      </c>
      <c r="S278" t="s">
        <v>46</v>
      </c>
    </row>
    <row r="279" spans="1:19" x14ac:dyDescent="0.3">
      <c r="A279">
        <v>276</v>
      </c>
      <c r="B279" t="s">
        <v>548</v>
      </c>
      <c r="C279" s="6">
        <v>45567</v>
      </c>
      <c r="D279" s="2" t="str">
        <f t="shared" si="8"/>
        <v>October</v>
      </c>
      <c r="E279" t="s">
        <v>549</v>
      </c>
      <c r="F279">
        <v>43</v>
      </c>
      <c r="G279" t="str">
        <f t="shared" si="9"/>
        <v>Adult</v>
      </c>
      <c r="H279" t="s">
        <v>42</v>
      </c>
      <c r="I279" t="s">
        <v>80</v>
      </c>
      <c r="J279" t="s">
        <v>65</v>
      </c>
      <c r="K279" t="s">
        <v>51</v>
      </c>
      <c r="L279" t="s">
        <v>86</v>
      </c>
      <c r="M279">
        <v>2</v>
      </c>
      <c r="N279">
        <v>1182</v>
      </c>
      <c r="O279">
        <v>2364</v>
      </c>
      <c r="P279" t="s">
        <v>27</v>
      </c>
      <c r="Q279">
        <v>1</v>
      </c>
      <c r="R279">
        <v>3</v>
      </c>
      <c r="S279" t="s">
        <v>46</v>
      </c>
    </row>
    <row r="280" spans="1:19" x14ac:dyDescent="0.3">
      <c r="A280">
        <v>277</v>
      </c>
      <c r="B280" t="s">
        <v>550</v>
      </c>
      <c r="C280" s="6">
        <v>45568</v>
      </c>
      <c r="D280" s="2" t="str">
        <f t="shared" si="8"/>
        <v>October</v>
      </c>
      <c r="E280" t="s">
        <v>551</v>
      </c>
      <c r="F280">
        <v>27</v>
      </c>
      <c r="G280" t="str">
        <f t="shared" si="9"/>
        <v>Teenager</v>
      </c>
      <c r="H280" t="s">
        <v>22</v>
      </c>
      <c r="I280" t="s">
        <v>23</v>
      </c>
      <c r="J280" t="s">
        <v>50</v>
      </c>
      <c r="K280" t="s">
        <v>38</v>
      </c>
      <c r="L280" t="s">
        <v>135</v>
      </c>
      <c r="M280">
        <v>7</v>
      </c>
      <c r="N280">
        <v>11955</v>
      </c>
      <c r="O280">
        <v>83685</v>
      </c>
      <c r="P280" t="s">
        <v>27</v>
      </c>
      <c r="Q280">
        <v>4</v>
      </c>
      <c r="R280">
        <v>1</v>
      </c>
      <c r="S280" t="s">
        <v>46</v>
      </c>
    </row>
    <row r="281" spans="1:19" x14ac:dyDescent="0.3">
      <c r="A281">
        <v>278</v>
      </c>
      <c r="B281" t="s">
        <v>552</v>
      </c>
      <c r="C281" s="6">
        <v>45569</v>
      </c>
      <c r="D281" s="2" t="str">
        <f t="shared" si="8"/>
        <v>October</v>
      </c>
      <c r="E281" t="s">
        <v>553</v>
      </c>
      <c r="F281">
        <v>36</v>
      </c>
      <c r="G281" t="str">
        <f t="shared" si="9"/>
        <v>Adult</v>
      </c>
      <c r="H281" t="s">
        <v>22</v>
      </c>
      <c r="I281" t="s">
        <v>102</v>
      </c>
      <c r="J281" t="s">
        <v>24</v>
      </c>
      <c r="K281" t="s">
        <v>33</v>
      </c>
      <c r="L281" t="s">
        <v>160</v>
      </c>
      <c r="M281">
        <v>3</v>
      </c>
      <c r="N281">
        <v>1037</v>
      </c>
      <c r="O281">
        <v>3111</v>
      </c>
      <c r="P281" t="s">
        <v>27</v>
      </c>
      <c r="Q281">
        <v>2</v>
      </c>
      <c r="R281">
        <v>4</v>
      </c>
      <c r="S281" t="s">
        <v>28</v>
      </c>
    </row>
    <row r="282" spans="1:19" x14ac:dyDescent="0.3">
      <c r="A282">
        <v>279</v>
      </c>
      <c r="B282" t="s">
        <v>554</v>
      </c>
      <c r="C282" s="6">
        <v>45570</v>
      </c>
      <c r="D282" s="2" t="str">
        <f t="shared" si="8"/>
        <v>October</v>
      </c>
      <c r="E282" t="s">
        <v>555</v>
      </c>
      <c r="F282">
        <v>60</v>
      </c>
      <c r="G282" t="str">
        <f t="shared" si="9"/>
        <v>Senior</v>
      </c>
      <c r="H282" t="s">
        <v>42</v>
      </c>
      <c r="I282" t="s">
        <v>49</v>
      </c>
      <c r="J282" t="s">
        <v>50</v>
      </c>
      <c r="K282" t="s">
        <v>33</v>
      </c>
      <c r="L282" t="s">
        <v>89</v>
      </c>
      <c r="M282">
        <v>8</v>
      </c>
      <c r="N282">
        <v>7351</v>
      </c>
      <c r="O282">
        <v>58808</v>
      </c>
      <c r="P282" t="s">
        <v>99</v>
      </c>
      <c r="Q282">
        <v>3</v>
      </c>
      <c r="R282">
        <v>1</v>
      </c>
      <c r="S282" t="s">
        <v>28</v>
      </c>
    </row>
    <row r="283" spans="1:19" x14ac:dyDescent="0.3">
      <c r="A283">
        <v>280</v>
      </c>
      <c r="B283" t="s">
        <v>556</v>
      </c>
      <c r="C283" s="6">
        <v>45571</v>
      </c>
      <c r="D283" s="2" t="str">
        <f t="shared" si="8"/>
        <v>October</v>
      </c>
      <c r="E283" t="s">
        <v>557</v>
      </c>
      <c r="F283">
        <v>43</v>
      </c>
      <c r="G283" t="str">
        <f t="shared" si="9"/>
        <v>Adult</v>
      </c>
      <c r="H283" t="s">
        <v>22</v>
      </c>
      <c r="I283" t="s">
        <v>37</v>
      </c>
      <c r="J283" t="s">
        <v>32</v>
      </c>
      <c r="K283" t="s">
        <v>51</v>
      </c>
      <c r="L283" t="s">
        <v>52</v>
      </c>
      <c r="M283">
        <v>4</v>
      </c>
      <c r="N283">
        <v>400</v>
      </c>
      <c r="O283">
        <v>1600</v>
      </c>
      <c r="P283" t="s">
        <v>116</v>
      </c>
      <c r="Q283">
        <v>6</v>
      </c>
      <c r="R283">
        <v>3</v>
      </c>
      <c r="S283" t="s">
        <v>28</v>
      </c>
    </row>
    <row r="284" spans="1:19" x14ac:dyDescent="0.3">
      <c r="A284">
        <v>281</v>
      </c>
      <c r="B284" t="s">
        <v>558</v>
      </c>
      <c r="C284" s="6">
        <v>45572</v>
      </c>
      <c r="D284" s="2" t="str">
        <f t="shared" si="8"/>
        <v>October</v>
      </c>
      <c r="E284" t="s">
        <v>130</v>
      </c>
      <c r="F284">
        <v>29</v>
      </c>
      <c r="G284" t="str">
        <f t="shared" si="9"/>
        <v>Teenager</v>
      </c>
      <c r="H284" t="s">
        <v>22</v>
      </c>
      <c r="I284" t="s">
        <v>31</v>
      </c>
      <c r="J284" t="s">
        <v>24</v>
      </c>
      <c r="K284" t="s">
        <v>51</v>
      </c>
      <c r="L284" t="s">
        <v>74</v>
      </c>
      <c r="M284">
        <v>9</v>
      </c>
      <c r="N284">
        <v>1612</v>
      </c>
      <c r="O284">
        <v>14508</v>
      </c>
      <c r="P284" t="s">
        <v>53</v>
      </c>
      <c r="Q284">
        <v>1</v>
      </c>
      <c r="R284">
        <v>5</v>
      </c>
      <c r="S284" t="s">
        <v>28</v>
      </c>
    </row>
    <row r="285" spans="1:19" x14ac:dyDescent="0.3">
      <c r="A285">
        <v>282</v>
      </c>
      <c r="B285" t="s">
        <v>559</v>
      </c>
      <c r="C285" s="6">
        <v>45573</v>
      </c>
      <c r="D285" s="2" t="str">
        <f t="shared" si="8"/>
        <v>October</v>
      </c>
      <c r="E285" t="s">
        <v>560</v>
      </c>
      <c r="F285">
        <v>32</v>
      </c>
      <c r="G285" t="str">
        <f t="shared" si="9"/>
        <v>Adult</v>
      </c>
      <c r="H285" t="s">
        <v>22</v>
      </c>
      <c r="I285" t="s">
        <v>102</v>
      </c>
      <c r="J285" t="s">
        <v>32</v>
      </c>
      <c r="K285" t="s">
        <v>38</v>
      </c>
      <c r="L285" t="s">
        <v>135</v>
      </c>
      <c r="M285">
        <v>4</v>
      </c>
      <c r="N285">
        <v>1561</v>
      </c>
      <c r="O285">
        <v>6244</v>
      </c>
      <c r="P285" t="s">
        <v>61</v>
      </c>
      <c r="Q285">
        <v>8</v>
      </c>
      <c r="R285">
        <v>4</v>
      </c>
      <c r="S285" t="s">
        <v>28</v>
      </c>
    </row>
    <row r="286" spans="1:19" x14ac:dyDescent="0.3">
      <c r="A286">
        <v>283</v>
      </c>
      <c r="B286" t="s">
        <v>561</v>
      </c>
      <c r="C286" s="6">
        <v>45574</v>
      </c>
      <c r="D286" s="2" t="str">
        <f t="shared" si="8"/>
        <v>October</v>
      </c>
      <c r="E286" t="s">
        <v>108</v>
      </c>
      <c r="F286">
        <v>43</v>
      </c>
      <c r="G286" t="str">
        <f t="shared" si="9"/>
        <v>Adult</v>
      </c>
      <c r="H286" t="s">
        <v>22</v>
      </c>
      <c r="I286" t="s">
        <v>37</v>
      </c>
      <c r="J286" t="s">
        <v>32</v>
      </c>
      <c r="K286" t="s">
        <v>44</v>
      </c>
      <c r="L286" t="s">
        <v>224</v>
      </c>
      <c r="M286">
        <v>4</v>
      </c>
      <c r="N286">
        <v>43154</v>
      </c>
      <c r="O286">
        <v>172616</v>
      </c>
      <c r="P286" t="s">
        <v>27</v>
      </c>
      <c r="Q286">
        <v>7</v>
      </c>
      <c r="R286">
        <v>4</v>
      </c>
      <c r="S286" t="s">
        <v>46</v>
      </c>
    </row>
    <row r="287" spans="1:19" x14ac:dyDescent="0.3">
      <c r="A287">
        <v>284</v>
      </c>
      <c r="B287" t="s">
        <v>562</v>
      </c>
      <c r="C287" s="6">
        <v>45575</v>
      </c>
      <c r="D287" s="2" t="str">
        <f t="shared" si="8"/>
        <v>October</v>
      </c>
      <c r="E287" t="s">
        <v>269</v>
      </c>
      <c r="F287">
        <v>59</v>
      </c>
      <c r="G287" t="str">
        <f t="shared" si="9"/>
        <v>Senior</v>
      </c>
      <c r="H287" t="s">
        <v>22</v>
      </c>
      <c r="I287" t="s">
        <v>23</v>
      </c>
      <c r="J287" t="s">
        <v>50</v>
      </c>
      <c r="K287" t="s">
        <v>51</v>
      </c>
      <c r="L287" t="s">
        <v>52</v>
      </c>
      <c r="M287">
        <v>6</v>
      </c>
      <c r="N287">
        <v>1581</v>
      </c>
      <c r="O287">
        <v>9486</v>
      </c>
      <c r="P287" t="s">
        <v>61</v>
      </c>
      <c r="Q287">
        <v>9</v>
      </c>
      <c r="R287">
        <v>4</v>
      </c>
      <c r="S287" t="s">
        <v>28</v>
      </c>
    </row>
    <row r="288" spans="1:19" x14ac:dyDescent="0.3">
      <c r="A288">
        <v>285</v>
      </c>
      <c r="B288" t="s">
        <v>563</v>
      </c>
      <c r="C288" s="6">
        <v>45576</v>
      </c>
      <c r="D288" s="2" t="str">
        <f t="shared" si="8"/>
        <v>October</v>
      </c>
      <c r="E288" t="s">
        <v>564</v>
      </c>
      <c r="F288">
        <v>54</v>
      </c>
      <c r="G288" t="str">
        <f t="shared" si="9"/>
        <v>Senior</v>
      </c>
      <c r="H288" t="s">
        <v>42</v>
      </c>
      <c r="I288" t="s">
        <v>64</v>
      </c>
      <c r="J288" t="s">
        <v>32</v>
      </c>
      <c r="K288" t="s">
        <v>38</v>
      </c>
      <c r="L288" t="s">
        <v>39</v>
      </c>
      <c r="M288">
        <v>1</v>
      </c>
      <c r="N288">
        <v>8504</v>
      </c>
      <c r="O288">
        <v>8504</v>
      </c>
      <c r="P288" t="s">
        <v>27</v>
      </c>
      <c r="Q288">
        <v>3</v>
      </c>
      <c r="R288">
        <v>3</v>
      </c>
      <c r="S288" t="s">
        <v>46</v>
      </c>
    </row>
    <row r="289" spans="1:19" x14ac:dyDescent="0.3">
      <c r="A289">
        <v>286</v>
      </c>
      <c r="B289" t="s">
        <v>565</v>
      </c>
      <c r="C289" s="6">
        <v>45577</v>
      </c>
      <c r="D289" s="2" t="str">
        <f t="shared" si="8"/>
        <v>October</v>
      </c>
      <c r="E289" t="s">
        <v>36</v>
      </c>
      <c r="F289">
        <v>57</v>
      </c>
      <c r="G289" t="str">
        <f t="shared" si="9"/>
        <v>Senior</v>
      </c>
      <c r="H289" t="s">
        <v>42</v>
      </c>
      <c r="I289" t="s">
        <v>102</v>
      </c>
      <c r="J289" t="s">
        <v>24</v>
      </c>
      <c r="K289" t="s">
        <v>38</v>
      </c>
      <c r="L289" t="s">
        <v>96</v>
      </c>
      <c r="M289">
        <v>9</v>
      </c>
      <c r="N289">
        <v>29056</v>
      </c>
      <c r="O289">
        <v>261504</v>
      </c>
      <c r="P289" t="s">
        <v>61</v>
      </c>
      <c r="Q289">
        <v>6</v>
      </c>
      <c r="R289">
        <v>1</v>
      </c>
      <c r="S289" t="s">
        <v>46</v>
      </c>
    </row>
    <row r="290" spans="1:19" x14ac:dyDescent="0.3">
      <c r="A290">
        <v>287</v>
      </c>
      <c r="B290" t="s">
        <v>566</v>
      </c>
      <c r="C290" s="6">
        <v>45578</v>
      </c>
      <c r="D290" s="2" t="str">
        <f t="shared" si="8"/>
        <v>October</v>
      </c>
      <c r="E290" t="s">
        <v>567</v>
      </c>
      <c r="F290">
        <v>55</v>
      </c>
      <c r="G290" t="str">
        <f t="shared" si="9"/>
        <v>Senior</v>
      </c>
      <c r="H290" t="s">
        <v>22</v>
      </c>
      <c r="I290" t="s">
        <v>80</v>
      </c>
      <c r="J290" t="s">
        <v>24</v>
      </c>
      <c r="K290" t="s">
        <v>44</v>
      </c>
      <c r="L290" t="s">
        <v>178</v>
      </c>
      <c r="M290">
        <v>6</v>
      </c>
      <c r="N290">
        <v>41743</v>
      </c>
      <c r="O290">
        <v>250458</v>
      </c>
      <c r="P290" t="s">
        <v>99</v>
      </c>
      <c r="Q290">
        <v>4</v>
      </c>
      <c r="R290">
        <v>4</v>
      </c>
      <c r="S290" t="s">
        <v>46</v>
      </c>
    </row>
    <row r="291" spans="1:19" x14ac:dyDescent="0.3">
      <c r="A291">
        <v>288</v>
      </c>
      <c r="B291" t="s">
        <v>568</v>
      </c>
      <c r="C291" s="6">
        <v>45579</v>
      </c>
      <c r="D291" s="2" t="str">
        <f t="shared" si="8"/>
        <v>October</v>
      </c>
      <c r="E291" t="s">
        <v>569</v>
      </c>
      <c r="F291">
        <v>19</v>
      </c>
      <c r="G291" t="str">
        <f t="shared" si="9"/>
        <v>Teenager</v>
      </c>
      <c r="H291" t="s">
        <v>22</v>
      </c>
      <c r="I291" t="s">
        <v>64</v>
      </c>
      <c r="J291" t="s">
        <v>65</v>
      </c>
      <c r="K291" t="s">
        <v>44</v>
      </c>
      <c r="L291" t="s">
        <v>121</v>
      </c>
      <c r="M291">
        <v>3</v>
      </c>
      <c r="N291">
        <v>22531</v>
      </c>
      <c r="O291">
        <v>67593</v>
      </c>
      <c r="P291" t="s">
        <v>116</v>
      </c>
      <c r="Q291">
        <v>6</v>
      </c>
      <c r="R291">
        <v>1</v>
      </c>
      <c r="S291" t="s">
        <v>46</v>
      </c>
    </row>
    <row r="292" spans="1:19" x14ac:dyDescent="0.3">
      <c r="A292">
        <v>289</v>
      </c>
      <c r="B292" t="s">
        <v>570</v>
      </c>
      <c r="C292" s="6">
        <v>45580</v>
      </c>
      <c r="D292" s="2" t="str">
        <f t="shared" si="8"/>
        <v>October</v>
      </c>
      <c r="E292" t="s">
        <v>571</v>
      </c>
      <c r="F292">
        <v>23</v>
      </c>
      <c r="G292" t="str">
        <f t="shared" si="9"/>
        <v>Teenager</v>
      </c>
      <c r="H292" t="s">
        <v>22</v>
      </c>
      <c r="I292" t="s">
        <v>120</v>
      </c>
      <c r="J292" t="s">
        <v>32</v>
      </c>
      <c r="K292" t="s">
        <v>38</v>
      </c>
      <c r="L292" t="s">
        <v>135</v>
      </c>
      <c r="M292">
        <v>8</v>
      </c>
      <c r="N292">
        <v>11531</v>
      </c>
      <c r="O292">
        <v>92248</v>
      </c>
      <c r="P292" t="s">
        <v>27</v>
      </c>
      <c r="Q292">
        <v>10</v>
      </c>
      <c r="R292">
        <v>1</v>
      </c>
      <c r="S292" t="s">
        <v>28</v>
      </c>
    </row>
    <row r="293" spans="1:19" x14ac:dyDescent="0.3">
      <c r="A293">
        <v>290</v>
      </c>
      <c r="B293" t="s">
        <v>572</v>
      </c>
      <c r="C293" s="6">
        <v>45581</v>
      </c>
      <c r="D293" s="2" t="str">
        <f t="shared" si="8"/>
        <v>October</v>
      </c>
      <c r="E293" t="s">
        <v>506</v>
      </c>
      <c r="F293">
        <v>55</v>
      </c>
      <c r="G293" t="str">
        <f t="shared" si="9"/>
        <v>Senior</v>
      </c>
      <c r="H293" t="s">
        <v>22</v>
      </c>
      <c r="I293" t="s">
        <v>120</v>
      </c>
      <c r="J293" t="s">
        <v>50</v>
      </c>
      <c r="K293" t="s">
        <v>25</v>
      </c>
      <c r="L293" t="s">
        <v>26</v>
      </c>
      <c r="M293">
        <v>7</v>
      </c>
      <c r="N293">
        <v>27519</v>
      </c>
      <c r="O293">
        <v>192633</v>
      </c>
      <c r="P293" t="s">
        <v>53</v>
      </c>
      <c r="Q293">
        <v>8</v>
      </c>
      <c r="R293">
        <v>2</v>
      </c>
      <c r="S293" t="s">
        <v>46</v>
      </c>
    </row>
    <row r="294" spans="1:19" x14ac:dyDescent="0.3">
      <c r="A294">
        <v>291</v>
      </c>
      <c r="B294" t="s">
        <v>573</v>
      </c>
      <c r="C294" s="6">
        <v>45582</v>
      </c>
      <c r="D294" s="2" t="str">
        <f t="shared" si="8"/>
        <v>October</v>
      </c>
      <c r="E294" t="s">
        <v>126</v>
      </c>
      <c r="F294">
        <v>40</v>
      </c>
      <c r="G294" t="str">
        <f t="shared" si="9"/>
        <v>Adult</v>
      </c>
      <c r="H294" t="s">
        <v>22</v>
      </c>
      <c r="I294" t="s">
        <v>23</v>
      </c>
      <c r="J294" t="s">
        <v>24</v>
      </c>
      <c r="K294" t="s">
        <v>33</v>
      </c>
      <c r="L294" t="s">
        <v>160</v>
      </c>
      <c r="M294">
        <v>1</v>
      </c>
      <c r="N294">
        <v>37288</v>
      </c>
      <c r="O294">
        <v>37288</v>
      </c>
      <c r="P294" t="s">
        <v>99</v>
      </c>
      <c r="Q294">
        <v>10</v>
      </c>
      <c r="R294">
        <v>4</v>
      </c>
      <c r="S294" t="s">
        <v>28</v>
      </c>
    </row>
    <row r="295" spans="1:19" x14ac:dyDescent="0.3">
      <c r="A295">
        <v>292</v>
      </c>
      <c r="B295" t="s">
        <v>574</v>
      </c>
      <c r="C295" s="6">
        <v>45583</v>
      </c>
      <c r="D295" s="2" t="str">
        <f t="shared" si="8"/>
        <v>October</v>
      </c>
      <c r="E295" t="s">
        <v>177</v>
      </c>
      <c r="F295">
        <v>42</v>
      </c>
      <c r="G295" t="str">
        <f t="shared" si="9"/>
        <v>Adult</v>
      </c>
      <c r="H295" t="s">
        <v>22</v>
      </c>
      <c r="I295" t="s">
        <v>49</v>
      </c>
      <c r="J295" t="s">
        <v>50</v>
      </c>
      <c r="K295" t="s">
        <v>44</v>
      </c>
      <c r="L295" t="s">
        <v>121</v>
      </c>
      <c r="M295">
        <v>7</v>
      </c>
      <c r="N295">
        <v>43120</v>
      </c>
      <c r="O295">
        <v>301840</v>
      </c>
      <c r="P295" t="s">
        <v>99</v>
      </c>
      <c r="Q295">
        <v>8</v>
      </c>
      <c r="R295">
        <v>5</v>
      </c>
      <c r="S295" t="s">
        <v>28</v>
      </c>
    </row>
    <row r="296" spans="1:19" x14ac:dyDescent="0.3">
      <c r="A296">
        <v>293</v>
      </c>
      <c r="B296" t="s">
        <v>575</v>
      </c>
      <c r="C296" s="6">
        <v>45584</v>
      </c>
      <c r="D296" s="2" t="str">
        <f t="shared" si="8"/>
        <v>October</v>
      </c>
      <c r="E296" t="s">
        <v>576</v>
      </c>
      <c r="F296">
        <v>42</v>
      </c>
      <c r="G296" t="str">
        <f t="shared" si="9"/>
        <v>Adult</v>
      </c>
      <c r="H296" t="s">
        <v>42</v>
      </c>
      <c r="I296" t="s">
        <v>120</v>
      </c>
      <c r="J296" t="s">
        <v>32</v>
      </c>
      <c r="K296" t="s">
        <v>33</v>
      </c>
      <c r="L296" t="s">
        <v>160</v>
      </c>
      <c r="M296">
        <v>6</v>
      </c>
      <c r="N296">
        <v>29294</v>
      </c>
      <c r="O296">
        <v>175764</v>
      </c>
      <c r="P296" t="s">
        <v>99</v>
      </c>
      <c r="Q296">
        <v>10</v>
      </c>
      <c r="R296">
        <v>2</v>
      </c>
      <c r="S296" t="s">
        <v>28</v>
      </c>
    </row>
    <row r="297" spans="1:19" x14ac:dyDescent="0.3">
      <c r="A297">
        <v>294</v>
      </c>
      <c r="B297" t="s">
        <v>577</v>
      </c>
      <c r="C297" s="6">
        <v>45585</v>
      </c>
      <c r="D297" s="2" t="str">
        <f t="shared" si="8"/>
        <v>October</v>
      </c>
      <c r="E297" t="s">
        <v>578</v>
      </c>
      <c r="F297">
        <v>28</v>
      </c>
      <c r="G297" t="str">
        <f t="shared" si="9"/>
        <v>Teenager</v>
      </c>
      <c r="H297" t="s">
        <v>42</v>
      </c>
      <c r="I297" t="s">
        <v>49</v>
      </c>
      <c r="J297" t="s">
        <v>50</v>
      </c>
      <c r="K297" t="s">
        <v>38</v>
      </c>
      <c r="L297" t="s">
        <v>135</v>
      </c>
      <c r="M297">
        <v>4</v>
      </c>
      <c r="N297">
        <v>16553</v>
      </c>
      <c r="O297">
        <v>66212</v>
      </c>
      <c r="P297" t="s">
        <v>99</v>
      </c>
      <c r="Q297">
        <v>6</v>
      </c>
      <c r="R297">
        <v>3</v>
      </c>
      <c r="S297" t="s">
        <v>46</v>
      </c>
    </row>
    <row r="298" spans="1:19" x14ac:dyDescent="0.3">
      <c r="A298">
        <v>295</v>
      </c>
      <c r="B298" t="s">
        <v>579</v>
      </c>
      <c r="C298" s="6">
        <v>45586</v>
      </c>
      <c r="D298" s="2" t="str">
        <f t="shared" si="8"/>
        <v>October</v>
      </c>
      <c r="E298" t="s">
        <v>580</v>
      </c>
      <c r="F298">
        <v>18</v>
      </c>
      <c r="G298" t="str">
        <f t="shared" si="9"/>
        <v>Teenager</v>
      </c>
      <c r="H298" t="s">
        <v>42</v>
      </c>
      <c r="I298" t="s">
        <v>23</v>
      </c>
      <c r="J298" t="s">
        <v>24</v>
      </c>
      <c r="K298" t="s">
        <v>33</v>
      </c>
      <c r="L298" t="s">
        <v>34</v>
      </c>
      <c r="M298">
        <v>1</v>
      </c>
      <c r="N298">
        <v>2952</v>
      </c>
      <c r="O298">
        <v>2952</v>
      </c>
      <c r="P298" t="s">
        <v>61</v>
      </c>
      <c r="Q298">
        <v>8</v>
      </c>
      <c r="R298">
        <v>5</v>
      </c>
      <c r="S298" t="s">
        <v>46</v>
      </c>
    </row>
    <row r="299" spans="1:19" x14ac:dyDescent="0.3">
      <c r="A299">
        <v>296</v>
      </c>
      <c r="B299" t="s">
        <v>581</v>
      </c>
      <c r="C299" s="6">
        <v>45587</v>
      </c>
      <c r="D299" s="2" t="str">
        <f t="shared" si="8"/>
        <v>October</v>
      </c>
      <c r="E299" t="s">
        <v>250</v>
      </c>
      <c r="F299">
        <v>57</v>
      </c>
      <c r="G299" t="str">
        <f t="shared" si="9"/>
        <v>Senior</v>
      </c>
      <c r="H299" t="s">
        <v>42</v>
      </c>
      <c r="I299" t="s">
        <v>64</v>
      </c>
      <c r="J299" t="s">
        <v>32</v>
      </c>
      <c r="K299" t="s">
        <v>51</v>
      </c>
      <c r="L299" t="s">
        <v>52</v>
      </c>
      <c r="M299">
        <v>5</v>
      </c>
      <c r="N299">
        <v>463</v>
      </c>
      <c r="O299">
        <v>2315</v>
      </c>
      <c r="P299" t="s">
        <v>116</v>
      </c>
      <c r="Q299">
        <v>7</v>
      </c>
      <c r="R299">
        <v>2</v>
      </c>
      <c r="S299" t="s">
        <v>46</v>
      </c>
    </row>
    <row r="300" spans="1:19" x14ac:dyDescent="0.3">
      <c r="A300">
        <v>297</v>
      </c>
      <c r="B300" t="s">
        <v>582</v>
      </c>
      <c r="C300" s="6">
        <v>45588</v>
      </c>
      <c r="D300" s="2" t="str">
        <f t="shared" si="8"/>
        <v>October</v>
      </c>
      <c r="E300" t="s">
        <v>583</v>
      </c>
      <c r="F300">
        <v>39</v>
      </c>
      <c r="G300" t="str">
        <f t="shared" si="9"/>
        <v>Adult</v>
      </c>
      <c r="H300" t="s">
        <v>42</v>
      </c>
      <c r="I300" t="s">
        <v>23</v>
      </c>
      <c r="J300" t="s">
        <v>65</v>
      </c>
      <c r="K300" t="s">
        <v>38</v>
      </c>
      <c r="L300" t="s">
        <v>81</v>
      </c>
      <c r="M300">
        <v>7</v>
      </c>
      <c r="N300">
        <v>42670</v>
      </c>
      <c r="O300">
        <v>298690</v>
      </c>
      <c r="P300" t="s">
        <v>53</v>
      </c>
      <c r="Q300">
        <v>1</v>
      </c>
      <c r="R300">
        <v>2</v>
      </c>
      <c r="S300" t="s">
        <v>28</v>
      </c>
    </row>
    <row r="301" spans="1:19" x14ac:dyDescent="0.3">
      <c r="A301">
        <v>298</v>
      </c>
      <c r="B301" t="s">
        <v>584</v>
      </c>
      <c r="C301" s="6">
        <v>45589</v>
      </c>
      <c r="D301" s="2" t="str">
        <f t="shared" si="8"/>
        <v>October</v>
      </c>
      <c r="E301" t="s">
        <v>67</v>
      </c>
      <c r="F301">
        <v>55</v>
      </c>
      <c r="G301" t="str">
        <f t="shared" si="9"/>
        <v>Senior</v>
      </c>
      <c r="H301" t="s">
        <v>22</v>
      </c>
      <c r="I301" t="s">
        <v>37</v>
      </c>
      <c r="J301" t="s">
        <v>24</v>
      </c>
      <c r="K301" t="s">
        <v>25</v>
      </c>
      <c r="L301" t="s">
        <v>189</v>
      </c>
      <c r="M301">
        <v>2</v>
      </c>
      <c r="N301">
        <v>2889</v>
      </c>
      <c r="O301">
        <v>5778</v>
      </c>
      <c r="P301" t="s">
        <v>61</v>
      </c>
      <c r="Q301">
        <v>4</v>
      </c>
      <c r="R301">
        <v>2</v>
      </c>
      <c r="S301" t="s">
        <v>28</v>
      </c>
    </row>
    <row r="302" spans="1:19" x14ac:dyDescent="0.3">
      <c r="A302">
        <v>299</v>
      </c>
      <c r="B302" t="s">
        <v>585</v>
      </c>
      <c r="C302" s="6">
        <v>45590</v>
      </c>
      <c r="D302" s="2" t="str">
        <f t="shared" si="8"/>
        <v>October</v>
      </c>
      <c r="E302" t="s">
        <v>421</v>
      </c>
      <c r="F302">
        <v>23</v>
      </c>
      <c r="G302" t="str">
        <f t="shared" si="9"/>
        <v>Teenager</v>
      </c>
      <c r="H302" t="s">
        <v>42</v>
      </c>
      <c r="I302" t="s">
        <v>70</v>
      </c>
      <c r="J302" t="s">
        <v>65</v>
      </c>
      <c r="K302" t="s">
        <v>38</v>
      </c>
      <c r="L302" t="s">
        <v>71</v>
      </c>
      <c r="M302">
        <v>3</v>
      </c>
      <c r="N302">
        <v>22791</v>
      </c>
      <c r="O302">
        <v>68373</v>
      </c>
      <c r="P302" t="s">
        <v>99</v>
      </c>
      <c r="Q302">
        <v>8</v>
      </c>
      <c r="R302">
        <v>5</v>
      </c>
      <c r="S302" t="s">
        <v>28</v>
      </c>
    </row>
    <row r="303" spans="1:19" x14ac:dyDescent="0.3">
      <c r="A303">
        <v>300</v>
      </c>
      <c r="B303" t="s">
        <v>586</v>
      </c>
      <c r="C303" s="6">
        <v>45591</v>
      </c>
      <c r="D303" s="2" t="str">
        <f t="shared" si="8"/>
        <v>October</v>
      </c>
      <c r="E303" t="s">
        <v>534</v>
      </c>
      <c r="F303">
        <v>39</v>
      </c>
      <c r="G303" t="str">
        <f t="shared" si="9"/>
        <v>Adult</v>
      </c>
      <c r="H303" t="s">
        <v>42</v>
      </c>
      <c r="I303" t="s">
        <v>64</v>
      </c>
      <c r="J303" t="s">
        <v>65</v>
      </c>
      <c r="K303" t="s">
        <v>44</v>
      </c>
      <c r="L303" t="s">
        <v>224</v>
      </c>
      <c r="M303">
        <v>3</v>
      </c>
      <c r="N303">
        <v>45071</v>
      </c>
      <c r="O303">
        <v>135213</v>
      </c>
      <c r="P303" t="s">
        <v>27</v>
      </c>
      <c r="Q303">
        <v>8</v>
      </c>
      <c r="R303">
        <v>2</v>
      </c>
      <c r="S303" t="s">
        <v>46</v>
      </c>
    </row>
    <row r="304" spans="1:19" x14ac:dyDescent="0.3">
      <c r="A304">
        <v>301</v>
      </c>
      <c r="B304" t="s">
        <v>587</v>
      </c>
      <c r="C304" s="6">
        <v>45592</v>
      </c>
      <c r="D304" s="2" t="str">
        <f t="shared" si="8"/>
        <v>October</v>
      </c>
      <c r="E304" t="s">
        <v>588</v>
      </c>
      <c r="F304">
        <v>30</v>
      </c>
      <c r="G304" t="str">
        <f t="shared" si="9"/>
        <v>Adult</v>
      </c>
      <c r="H304" t="s">
        <v>42</v>
      </c>
      <c r="I304" t="s">
        <v>43</v>
      </c>
      <c r="J304" t="s">
        <v>65</v>
      </c>
      <c r="K304" t="s">
        <v>38</v>
      </c>
      <c r="L304" t="s">
        <v>135</v>
      </c>
      <c r="M304">
        <v>2</v>
      </c>
      <c r="N304">
        <v>9622</v>
      </c>
      <c r="O304">
        <v>19244</v>
      </c>
      <c r="P304" t="s">
        <v>99</v>
      </c>
      <c r="Q304">
        <v>10</v>
      </c>
      <c r="R304">
        <v>1</v>
      </c>
      <c r="S304" t="s">
        <v>46</v>
      </c>
    </row>
    <row r="305" spans="1:19" x14ac:dyDescent="0.3">
      <c r="A305">
        <v>302</v>
      </c>
      <c r="B305" t="s">
        <v>589</v>
      </c>
      <c r="C305" s="6">
        <v>45593</v>
      </c>
      <c r="D305" s="2" t="str">
        <f t="shared" si="8"/>
        <v>October</v>
      </c>
      <c r="E305" t="s">
        <v>41</v>
      </c>
      <c r="F305">
        <v>44</v>
      </c>
      <c r="G305" t="str">
        <f t="shared" si="9"/>
        <v>Adult</v>
      </c>
      <c r="H305" t="s">
        <v>42</v>
      </c>
      <c r="I305" t="s">
        <v>37</v>
      </c>
      <c r="J305" t="s">
        <v>65</v>
      </c>
      <c r="K305" t="s">
        <v>51</v>
      </c>
      <c r="L305" t="s">
        <v>86</v>
      </c>
      <c r="M305">
        <v>9</v>
      </c>
      <c r="N305">
        <v>723</v>
      </c>
      <c r="O305">
        <v>6507</v>
      </c>
      <c r="P305" t="s">
        <v>27</v>
      </c>
      <c r="Q305">
        <v>5</v>
      </c>
      <c r="R305">
        <v>3</v>
      </c>
      <c r="S305" t="s">
        <v>46</v>
      </c>
    </row>
    <row r="306" spans="1:19" x14ac:dyDescent="0.3">
      <c r="A306">
        <v>303</v>
      </c>
      <c r="B306" t="s">
        <v>590</v>
      </c>
      <c r="C306" s="6">
        <v>45594</v>
      </c>
      <c r="D306" s="2" t="str">
        <f t="shared" si="8"/>
        <v>October</v>
      </c>
      <c r="E306" t="s">
        <v>30</v>
      </c>
      <c r="F306">
        <v>28</v>
      </c>
      <c r="G306" t="str">
        <f t="shared" si="9"/>
        <v>Teenager</v>
      </c>
      <c r="H306" t="s">
        <v>22</v>
      </c>
      <c r="I306" t="s">
        <v>31</v>
      </c>
      <c r="J306" t="s">
        <v>65</v>
      </c>
      <c r="K306" t="s">
        <v>44</v>
      </c>
      <c r="L306" t="s">
        <v>45</v>
      </c>
      <c r="M306">
        <v>1</v>
      </c>
      <c r="N306">
        <v>43969</v>
      </c>
      <c r="O306">
        <v>43969</v>
      </c>
      <c r="P306" t="s">
        <v>61</v>
      </c>
      <c r="Q306">
        <v>5</v>
      </c>
      <c r="R306">
        <v>1</v>
      </c>
      <c r="S306" t="s">
        <v>46</v>
      </c>
    </row>
    <row r="307" spans="1:19" x14ac:dyDescent="0.3">
      <c r="A307">
        <v>304</v>
      </c>
      <c r="B307" t="s">
        <v>591</v>
      </c>
      <c r="C307" s="6">
        <v>45595</v>
      </c>
      <c r="D307" s="2" t="str">
        <f t="shared" si="8"/>
        <v>October</v>
      </c>
      <c r="E307" t="s">
        <v>282</v>
      </c>
      <c r="F307">
        <v>45</v>
      </c>
      <c r="G307" t="str">
        <f t="shared" si="9"/>
        <v>Adult</v>
      </c>
      <c r="H307" t="s">
        <v>22</v>
      </c>
      <c r="I307" t="s">
        <v>120</v>
      </c>
      <c r="J307" t="s">
        <v>24</v>
      </c>
      <c r="K307" t="s">
        <v>38</v>
      </c>
      <c r="L307" t="s">
        <v>71</v>
      </c>
      <c r="M307">
        <v>7</v>
      </c>
      <c r="N307">
        <v>24138</v>
      </c>
      <c r="O307">
        <v>168966</v>
      </c>
      <c r="P307" t="s">
        <v>53</v>
      </c>
      <c r="Q307">
        <v>4</v>
      </c>
      <c r="R307">
        <v>3</v>
      </c>
      <c r="S307" t="s">
        <v>28</v>
      </c>
    </row>
    <row r="308" spans="1:19" x14ac:dyDescent="0.3">
      <c r="A308">
        <v>305</v>
      </c>
      <c r="B308" t="s">
        <v>592</v>
      </c>
      <c r="C308" s="6">
        <v>45596</v>
      </c>
      <c r="D308" s="2" t="str">
        <f t="shared" si="8"/>
        <v>October</v>
      </c>
      <c r="E308" t="s">
        <v>593</v>
      </c>
      <c r="F308">
        <v>36</v>
      </c>
      <c r="G308" t="str">
        <f t="shared" si="9"/>
        <v>Adult</v>
      </c>
      <c r="H308" t="s">
        <v>42</v>
      </c>
      <c r="I308" t="s">
        <v>37</v>
      </c>
      <c r="J308" t="s">
        <v>65</v>
      </c>
      <c r="K308" t="s">
        <v>51</v>
      </c>
      <c r="L308" t="s">
        <v>52</v>
      </c>
      <c r="M308">
        <v>6</v>
      </c>
      <c r="N308">
        <v>1339</v>
      </c>
      <c r="O308">
        <v>8034</v>
      </c>
      <c r="P308" t="s">
        <v>116</v>
      </c>
      <c r="Q308">
        <v>3</v>
      </c>
      <c r="R308">
        <v>5</v>
      </c>
      <c r="S308" t="s">
        <v>28</v>
      </c>
    </row>
    <row r="309" spans="1:19" x14ac:dyDescent="0.3">
      <c r="A309">
        <v>306</v>
      </c>
      <c r="B309" t="s">
        <v>594</v>
      </c>
      <c r="C309" s="6">
        <v>45597</v>
      </c>
      <c r="D309" s="2" t="str">
        <f t="shared" si="8"/>
        <v>November</v>
      </c>
      <c r="E309" t="s">
        <v>595</v>
      </c>
      <c r="F309">
        <v>60</v>
      </c>
      <c r="G309" t="str">
        <f t="shared" si="9"/>
        <v>Senior</v>
      </c>
      <c r="H309" t="s">
        <v>22</v>
      </c>
      <c r="I309" t="s">
        <v>49</v>
      </c>
      <c r="J309" t="s">
        <v>32</v>
      </c>
      <c r="K309" t="s">
        <v>51</v>
      </c>
      <c r="L309" t="s">
        <v>74</v>
      </c>
      <c r="M309">
        <v>1</v>
      </c>
      <c r="N309">
        <v>702</v>
      </c>
      <c r="O309">
        <v>702</v>
      </c>
      <c r="P309" t="s">
        <v>99</v>
      </c>
      <c r="Q309">
        <v>6</v>
      </c>
      <c r="R309">
        <v>2</v>
      </c>
      <c r="S309" t="s">
        <v>28</v>
      </c>
    </row>
    <row r="310" spans="1:19" x14ac:dyDescent="0.3">
      <c r="A310">
        <v>307</v>
      </c>
      <c r="B310" t="s">
        <v>596</v>
      </c>
      <c r="C310" s="6">
        <v>45598</v>
      </c>
      <c r="D310" s="2" t="str">
        <f t="shared" si="8"/>
        <v>November</v>
      </c>
      <c r="E310" t="s">
        <v>597</v>
      </c>
      <c r="F310">
        <v>41</v>
      </c>
      <c r="G310" t="str">
        <f t="shared" si="9"/>
        <v>Adult</v>
      </c>
      <c r="H310" t="s">
        <v>42</v>
      </c>
      <c r="I310" t="s">
        <v>37</v>
      </c>
      <c r="J310" t="s">
        <v>32</v>
      </c>
      <c r="K310" t="s">
        <v>33</v>
      </c>
      <c r="L310" t="s">
        <v>153</v>
      </c>
      <c r="M310">
        <v>5</v>
      </c>
      <c r="N310">
        <v>41283</v>
      </c>
      <c r="O310">
        <v>206415</v>
      </c>
      <c r="P310" t="s">
        <v>61</v>
      </c>
      <c r="Q310">
        <v>8</v>
      </c>
      <c r="R310">
        <v>5</v>
      </c>
      <c r="S310" t="s">
        <v>46</v>
      </c>
    </row>
    <row r="311" spans="1:19" x14ac:dyDescent="0.3">
      <c r="A311">
        <v>308</v>
      </c>
      <c r="B311" t="s">
        <v>598</v>
      </c>
      <c r="C311" s="6">
        <v>45599</v>
      </c>
      <c r="D311" s="2" t="str">
        <f t="shared" si="8"/>
        <v>November</v>
      </c>
      <c r="E311" t="s">
        <v>292</v>
      </c>
      <c r="F311">
        <v>47</v>
      </c>
      <c r="G311" t="str">
        <f t="shared" si="9"/>
        <v>Adult</v>
      </c>
      <c r="H311" t="s">
        <v>22</v>
      </c>
      <c r="I311" t="s">
        <v>37</v>
      </c>
      <c r="J311" t="s">
        <v>32</v>
      </c>
      <c r="K311" t="s">
        <v>33</v>
      </c>
      <c r="L311" t="s">
        <v>173</v>
      </c>
      <c r="M311">
        <v>6</v>
      </c>
      <c r="N311">
        <v>5422</v>
      </c>
      <c r="O311">
        <v>32532</v>
      </c>
      <c r="P311" t="s">
        <v>53</v>
      </c>
      <c r="Q311">
        <v>9</v>
      </c>
      <c r="R311">
        <v>5</v>
      </c>
      <c r="S311" t="s">
        <v>46</v>
      </c>
    </row>
    <row r="312" spans="1:19" x14ac:dyDescent="0.3">
      <c r="A312">
        <v>309</v>
      </c>
      <c r="B312" t="s">
        <v>599</v>
      </c>
      <c r="C312" s="6">
        <v>45600</v>
      </c>
      <c r="D312" s="2" t="str">
        <f t="shared" si="8"/>
        <v>November</v>
      </c>
      <c r="E312" t="s">
        <v>600</v>
      </c>
      <c r="F312">
        <v>52</v>
      </c>
      <c r="G312" t="str">
        <f t="shared" si="9"/>
        <v>Senior</v>
      </c>
      <c r="H312" t="s">
        <v>42</v>
      </c>
      <c r="I312" t="s">
        <v>102</v>
      </c>
      <c r="J312" t="s">
        <v>50</v>
      </c>
      <c r="K312" t="s">
        <v>51</v>
      </c>
      <c r="L312" t="s">
        <v>60</v>
      </c>
      <c r="M312">
        <v>3</v>
      </c>
      <c r="N312">
        <v>534</v>
      </c>
      <c r="O312">
        <v>1602</v>
      </c>
      <c r="P312" t="s">
        <v>61</v>
      </c>
      <c r="Q312">
        <v>6</v>
      </c>
      <c r="R312">
        <v>3</v>
      </c>
      <c r="S312" t="s">
        <v>46</v>
      </c>
    </row>
    <row r="313" spans="1:19" x14ac:dyDescent="0.3">
      <c r="A313">
        <v>310</v>
      </c>
      <c r="B313" t="s">
        <v>601</v>
      </c>
      <c r="C313" s="6">
        <v>45601</v>
      </c>
      <c r="D313" s="2" t="str">
        <f t="shared" si="8"/>
        <v>November</v>
      </c>
      <c r="E313" t="s">
        <v>243</v>
      </c>
      <c r="F313">
        <v>56</v>
      </c>
      <c r="G313" t="str">
        <f t="shared" si="9"/>
        <v>Senior</v>
      </c>
      <c r="H313" t="s">
        <v>22</v>
      </c>
      <c r="I313" t="s">
        <v>49</v>
      </c>
      <c r="J313" t="s">
        <v>50</v>
      </c>
      <c r="K313" t="s">
        <v>33</v>
      </c>
      <c r="L313" t="s">
        <v>34</v>
      </c>
      <c r="M313">
        <v>5</v>
      </c>
      <c r="N313">
        <v>11569</v>
      </c>
      <c r="O313">
        <v>57845</v>
      </c>
      <c r="P313" t="s">
        <v>61</v>
      </c>
      <c r="Q313">
        <v>6</v>
      </c>
      <c r="R313">
        <v>3</v>
      </c>
      <c r="S313" t="s">
        <v>46</v>
      </c>
    </row>
    <row r="314" spans="1:19" x14ac:dyDescent="0.3">
      <c r="A314">
        <v>311</v>
      </c>
      <c r="B314" t="s">
        <v>602</v>
      </c>
      <c r="C314" s="6">
        <v>45602</v>
      </c>
      <c r="D314" s="2" t="str">
        <f t="shared" si="8"/>
        <v>November</v>
      </c>
      <c r="E314" t="s">
        <v>603</v>
      </c>
      <c r="F314">
        <v>59</v>
      </c>
      <c r="G314" t="str">
        <f t="shared" si="9"/>
        <v>Senior</v>
      </c>
      <c r="H314" t="s">
        <v>22</v>
      </c>
      <c r="I314" t="s">
        <v>37</v>
      </c>
      <c r="J314" t="s">
        <v>24</v>
      </c>
      <c r="K314" t="s">
        <v>33</v>
      </c>
      <c r="L314" t="s">
        <v>34</v>
      </c>
      <c r="M314">
        <v>6</v>
      </c>
      <c r="N314">
        <v>45617</v>
      </c>
      <c r="O314">
        <v>273702</v>
      </c>
      <c r="P314" t="s">
        <v>27</v>
      </c>
      <c r="Q314">
        <v>4</v>
      </c>
      <c r="R314">
        <v>4</v>
      </c>
      <c r="S314" t="s">
        <v>28</v>
      </c>
    </row>
    <row r="315" spans="1:19" x14ac:dyDescent="0.3">
      <c r="A315">
        <v>312</v>
      </c>
      <c r="B315" t="s">
        <v>604</v>
      </c>
      <c r="C315" s="6">
        <v>45603</v>
      </c>
      <c r="D315" s="2" t="str">
        <f t="shared" si="8"/>
        <v>November</v>
      </c>
      <c r="E315" t="s">
        <v>605</v>
      </c>
      <c r="F315">
        <v>39</v>
      </c>
      <c r="G315" t="str">
        <f t="shared" si="9"/>
        <v>Adult</v>
      </c>
      <c r="H315" t="s">
        <v>22</v>
      </c>
      <c r="I315" t="s">
        <v>37</v>
      </c>
      <c r="J315" t="s">
        <v>24</v>
      </c>
      <c r="K315" t="s">
        <v>38</v>
      </c>
      <c r="L315" t="s">
        <v>71</v>
      </c>
      <c r="M315">
        <v>7</v>
      </c>
      <c r="N315">
        <v>1774</v>
      </c>
      <c r="O315">
        <v>12418</v>
      </c>
      <c r="P315" t="s">
        <v>61</v>
      </c>
      <c r="Q315">
        <v>6</v>
      </c>
      <c r="R315">
        <v>3</v>
      </c>
      <c r="S315" t="s">
        <v>46</v>
      </c>
    </row>
    <row r="316" spans="1:19" x14ac:dyDescent="0.3">
      <c r="A316">
        <v>313</v>
      </c>
      <c r="B316" t="s">
        <v>606</v>
      </c>
      <c r="C316" s="6">
        <v>45604</v>
      </c>
      <c r="D316" s="2" t="str">
        <f t="shared" si="8"/>
        <v>November</v>
      </c>
      <c r="E316" t="s">
        <v>607</v>
      </c>
      <c r="F316">
        <v>39</v>
      </c>
      <c r="G316" t="str">
        <f t="shared" si="9"/>
        <v>Adult</v>
      </c>
      <c r="H316" t="s">
        <v>22</v>
      </c>
      <c r="I316" t="s">
        <v>37</v>
      </c>
      <c r="J316" t="s">
        <v>24</v>
      </c>
      <c r="K316" t="s">
        <v>38</v>
      </c>
      <c r="L316" t="s">
        <v>81</v>
      </c>
      <c r="M316">
        <v>3</v>
      </c>
      <c r="N316">
        <v>21906</v>
      </c>
      <c r="O316">
        <v>65718</v>
      </c>
      <c r="P316" t="s">
        <v>53</v>
      </c>
      <c r="Q316">
        <v>6</v>
      </c>
      <c r="R316">
        <v>5</v>
      </c>
      <c r="S316" t="s">
        <v>28</v>
      </c>
    </row>
    <row r="317" spans="1:19" x14ac:dyDescent="0.3">
      <c r="A317">
        <v>314</v>
      </c>
      <c r="B317" t="s">
        <v>608</v>
      </c>
      <c r="C317" s="6">
        <v>45605</v>
      </c>
      <c r="D317" s="2" t="str">
        <f t="shared" si="8"/>
        <v>November</v>
      </c>
      <c r="E317" t="s">
        <v>543</v>
      </c>
      <c r="F317">
        <v>36</v>
      </c>
      <c r="G317" t="str">
        <f t="shared" si="9"/>
        <v>Adult</v>
      </c>
      <c r="H317" t="s">
        <v>42</v>
      </c>
      <c r="I317" t="s">
        <v>102</v>
      </c>
      <c r="J317" t="s">
        <v>32</v>
      </c>
      <c r="K317" t="s">
        <v>33</v>
      </c>
      <c r="L317" t="s">
        <v>89</v>
      </c>
      <c r="M317">
        <v>4</v>
      </c>
      <c r="N317">
        <v>5837</v>
      </c>
      <c r="O317">
        <v>23348</v>
      </c>
      <c r="P317" t="s">
        <v>61</v>
      </c>
      <c r="Q317">
        <v>1</v>
      </c>
      <c r="R317">
        <v>1</v>
      </c>
      <c r="S317" t="s">
        <v>46</v>
      </c>
    </row>
    <row r="318" spans="1:19" x14ac:dyDescent="0.3">
      <c r="A318">
        <v>315</v>
      </c>
      <c r="B318" t="s">
        <v>609</v>
      </c>
      <c r="C318" s="6">
        <v>45606</v>
      </c>
      <c r="D318" s="2" t="str">
        <f t="shared" si="8"/>
        <v>November</v>
      </c>
      <c r="E318" t="s">
        <v>610</v>
      </c>
      <c r="F318">
        <v>39</v>
      </c>
      <c r="G318" t="str">
        <f t="shared" si="9"/>
        <v>Adult</v>
      </c>
      <c r="H318" t="s">
        <v>22</v>
      </c>
      <c r="I318" t="s">
        <v>43</v>
      </c>
      <c r="J318" t="s">
        <v>65</v>
      </c>
      <c r="K318" t="s">
        <v>38</v>
      </c>
      <c r="L318" t="s">
        <v>96</v>
      </c>
      <c r="M318">
        <v>9</v>
      </c>
      <c r="N318">
        <v>7268</v>
      </c>
      <c r="O318">
        <v>65412</v>
      </c>
      <c r="P318" t="s">
        <v>27</v>
      </c>
      <c r="Q318">
        <v>7</v>
      </c>
      <c r="R318">
        <v>3</v>
      </c>
      <c r="S318" t="s">
        <v>28</v>
      </c>
    </row>
    <row r="319" spans="1:19" x14ac:dyDescent="0.3">
      <c r="A319">
        <v>316</v>
      </c>
      <c r="B319" t="s">
        <v>611</v>
      </c>
      <c r="C319" s="6">
        <v>45607</v>
      </c>
      <c r="D319" s="2" t="str">
        <f t="shared" si="8"/>
        <v>November</v>
      </c>
      <c r="E319" t="s">
        <v>385</v>
      </c>
      <c r="F319">
        <v>29</v>
      </c>
      <c r="G319" t="str">
        <f t="shared" si="9"/>
        <v>Teenager</v>
      </c>
      <c r="H319" t="s">
        <v>22</v>
      </c>
      <c r="I319" t="s">
        <v>43</v>
      </c>
      <c r="J319" t="s">
        <v>32</v>
      </c>
      <c r="K319" t="s">
        <v>25</v>
      </c>
      <c r="L319" t="s">
        <v>26</v>
      </c>
      <c r="M319">
        <v>2</v>
      </c>
      <c r="N319">
        <v>22463</v>
      </c>
      <c r="O319">
        <v>44926</v>
      </c>
      <c r="P319" t="s">
        <v>27</v>
      </c>
      <c r="Q319">
        <v>2</v>
      </c>
      <c r="R319">
        <v>5</v>
      </c>
      <c r="S319" t="s">
        <v>28</v>
      </c>
    </row>
    <row r="320" spans="1:19" x14ac:dyDescent="0.3">
      <c r="A320">
        <v>317</v>
      </c>
      <c r="B320" t="s">
        <v>612</v>
      </c>
      <c r="C320" s="6">
        <v>45608</v>
      </c>
      <c r="D320" s="2" t="str">
        <f t="shared" si="8"/>
        <v>November</v>
      </c>
      <c r="E320" t="s">
        <v>613</v>
      </c>
      <c r="F320">
        <v>18</v>
      </c>
      <c r="G320" t="str">
        <f t="shared" si="9"/>
        <v>Teenager</v>
      </c>
      <c r="H320" t="s">
        <v>42</v>
      </c>
      <c r="I320" t="s">
        <v>49</v>
      </c>
      <c r="J320" t="s">
        <v>50</v>
      </c>
      <c r="K320" t="s">
        <v>38</v>
      </c>
      <c r="L320" t="s">
        <v>135</v>
      </c>
      <c r="M320">
        <v>10</v>
      </c>
      <c r="N320">
        <v>20772</v>
      </c>
      <c r="O320">
        <v>207720</v>
      </c>
      <c r="P320" t="s">
        <v>99</v>
      </c>
      <c r="Q320">
        <v>5</v>
      </c>
      <c r="R320">
        <v>5</v>
      </c>
      <c r="S320" t="s">
        <v>28</v>
      </c>
    </row>
    <row r="321" spans="1:19" x14ac:dyDescent="0.3">
      <c r="A321">
        <v>318</v>
      </c>
      <c r="B321" t="s">
        <v>614</v>
      </c>
      <c r="C321" s="6">
        <v>45609</v>
      </c>
      <c r="D321" s="2" t="str">
        <f t="shared" si="8"/>
        <v>November</v>
      </c>
      <c r="E321" t="s">
        <v>615</v>
      </c>
      <c r="F321">
        <v>39</v>
      </c>
      <c r="G321" t="str">
        <f t="shared" si="9"/>
        <v>Adult</v>
      </c>
      <c r="H321" t="s">
        <v>42</v>
      </c>
      <c r="I321" t="s">
        <v>80</v>
      </c>
      <c r="J321" t="s">
        <v>24</v>
      </c>
      <c r="K321" t="s">
        <v>25</v>
      </c>
      <c r="L321" t="s">
        <v>94</v>
      </c>
      <c r="M321">
        <v>7</v>
      </c>
      <c r="N321">
        <v>36724</v>
      </c>
      <c r="O321">
        <v>257068</v>
      </c>
      <c r="P321" t="s">
        <v>53</v>
      </c>
      <c r="Q321">
        <v>2</v>
      </c>
      <c r="R321">
        <v>4</v>
      </c>
      <c r="S321" t="s">
        <v>46</v>
      </c>
    </row>
    <row r="322" spans="1:19" x14ac:dyDescent="0.3">
      <c r="A322">
        <v>319</v>
      </c>
      <c r="B322" t="s">
        <v>616</v>
      </c>
      <c r="C322" s="6">
        <v>45610</v>
      </c>
      <c r="D322" s="2" t="str">
        <f t="shared" si="8"/>
        <v>November</v>
      </c>
      <c r="E322" t="s">
        <v>617</v>
      </c>
      <c r="F322">
        <v>47</v>
      </c>
      <c r="G322" t="str">
        <f t="shared" si="9"/>
        <v>Adult</v>
      </c>
      <c r="H322" t="s">
        <v>42</v>
      </c>
      <c r="I322" t="s">
        <v>49</v>
      </c>
      <c r="J322" t="s">
        <v>32</v>
      </c>
      <c r="K322" t="s">
        <v>25</v>
      </c>
      <c r="L322" t="s">
        <v>189</v>
      </c>
      <c r="M322">
        <v>8</v>
      </c>
      <c r="N322">
        <v>12261</v>
      </c>
      <c r="O322">
        <v>98088</v>
      </c>
      <c r="P322" t="s">
        <v>61</v>
      </c>
      <c r="Q322">
        <v>1</v>
      </c>
      <c r="R322">
        <v>5</v>
      </c>
      <c r="S322" t="s">
        <v>46</v>
      </c>
    </row>
    <row r="323" spans="1:19" x14ac:dyDescent="0.3">
      <c r="A323">
        <v>320</v>
      </c>
      <c r="B323" t="s">
        <v>618</v>
      </c>
      <c r="C323" s="6">
        <v>45611</v>
      </c>
      <c r="D323" s="2" t="str">
        <f t="shared" si="8"/>
        <v>November</v>
      </c>
      <c r="E323" t="s">
        <v>208</v>
      </c>
      <c r="F323">
        <v>36</v>
      </c>
      <c r="G323" t="str">
        <f t="shared" si="9"/>
        <v>Adult</v>
      </c>
      <c r="H323" t="s">
        <v>42</v>
      </c>
      <c r="I323" t="s">
        <v>120</v>
      </c>
      <c r="J323" t="s">
        <v>65</v>
      </c>
      <c r="K323" t="s">
        <v>38</v>
      </c>
      <c r="L323" t="s">
        <v>71</v>
      </c>
      <c r="M323">
        <v>1</v>
      </c>
      <c r="N323">
        <v>4564</v>
      </c>
      <c r="O323">
        <v>4564</v>
      </c>
      <c r="P323" t="s">
        <v>27</v>
      </c>
      <c r="Q323">
        <v>5</v>
      </c>
      <c r="R323">
        <v>3</v>
      </c>
      <c r="S323" t="s">
        <v>46</v>
      </c>
    </row>
    <row r="324" spans="1:19" x14ac:dyDescent="0.3">
      <c r="A324">
        <v>321</v>
      </c>
      <c r="B324" t="s">
        <v>619</v>
      </c>
      <c r="C324" s="6">
        <v>45612</v>
      </c>
      <c r="D324" s="2" t="str">
        <f t="shared" ref="D324:D387" si="10">TEXT(C324,"mmmm")</f>
        <v>November</v>
      </c>
      <c r="E324" t="s">
        <v>402</v>
      </c>
      <c r="F324">
        <v>37</v>
      </c>
      <c r="G324" t="str">
        <f t="shared" ref="G324:G387" si="11">IF(F324&gt;=50,"Senior",IF(F324&gt;=30,"Adult","Teenager"))</f>
        <v>Adult</v>
      </c>
      <c r="H324" t="s">
        <v>22</v>
      </c>
      <c r="I324" t="s">
        <v>64</v>
      </c>
      <c r="J324" t="s">
        <v>24</v>
      </c>
      <c r="K324" t="s">
        <v>51</v>
      </c>
      <c r="L324" t="s">
        <v>86</v>
      </c>
      <c r="M324">
        <v>7</v>
      </c>
      <c r="N324">
        <v>1533</v>
      </c>
      <c r="O324">
        <v>10731</v>
      </c>
      <c r="P324" t="s">
        <v>61</v>
      </c>
      <c r="Q324">
        <v>10</v>
      </c>
      <c r="R324">
        <v>1</v>
      </c>
      <c r="S324" t="s">
        <v>46</v>
      </c>
    </row>
    <row r="325" spans="1:19" x14ac:dyDescent="0.3">
      <c r="A325">
        <v>322</v>
      </c>
      <c r="B325" t="s">
        <v>620</v>
      </c>
      <c r="C325" s="6">
        <v>45613</v>
      </c>
      <c r="D325" s="2" t="str">
        <f t="shared" si="10"/>
        <v>November</v>
      </c>
      <c r="E325" t="s">
        <v>621</v>
      </c>
      <c r="F325">
        <v>60</v>
      </c>
      <c r="G325" t="str">
        <f t="shared" si="11"/>
        <v>Senior</v>
      </c>
      <c r="H325" t="s">
        <v>42</v>
      </c>
      <c r="I325" t="s">
        <v>43</v>
      </c>
      <c r="J325" t="s">
        <v>65</v>
      </c>
      <c r="K325" t="s">
        <v>44</v>
      </c>
      <c r="L325" t="s">
        <v>45</v>
      </c>
      <c r="M325">
        <v>4</v>
      </c>
      <c r="N325">
        <v>29179</v>
      </c>
      <c r="O325">
        <v>116716</v>
      </c>
      <c r="P325" t="s">
        <v>116</v>
      </c>
      <c r="Q325">
        <v>6</v>
      </c>
      <c r="R325">
        <v>3</v>
      </c>
      <c r="S325" t="s">
        <v>46</v>
      </c>
    </row>
    <row r="326" spans="1:19" x14ac:dyDescent="0.3">
      <c r="A326">
        <v>323</v>
      </c>
      <c r="B326" t="s">
        <v>622</v>
      </c>
      <c r="C326" s="6">
        <v>45614</v>
      </c>
      <c r="D326" s="2" t="str">
        <f t="shared" si="10"/>
        <v>November</v>
      </c>
      <c r="E326" t="s">
        <v>83</v>
      </c>
      <c r="F326">
        <v>34</v>
      </c>
      <c r="G326" t="str">
        <f t="shared" si="11"/>
        <v>Adult</v>
      </c>
      <c r="H326" t="s">
        <v>42</v>
      </c>
      <c r="I326" t="s">
        <v>37</v>
      </c>
      <c r="J326" t="s">
        <v>50</v>
      </c>
      <c r="K326" t="s">
        <v>51</v>
      </c>
      <c r="L326" t="s">
        <v>86</v>
      </c>
      <c r="M326">
        <v>7</v>
      </c>
      <c r="N326">
        <v>1291</v>
      </c>
      <c r="O326">
        <v>9037</v>
      </c>
      <c r="P326" t="s">
        <v>61</v>
      </c>
      <c r="Q326">
        <v>2</v>
      </c>
      <c r="R326">
        <v>4</v>
      </c>
      <c r="S326" t="s">
        <v>46</v>
      </c>
    </row>
    <row r="327" spans="1:19" x14ac:dyDescent="0.3">
      <c r="A327">
        <v>324</v>
      </c>
      <c r="B327" t="s">
        <v>623</v>
      </c>
      <c r="C327" s="6">
        <v>45615</v>
      </c>
      <c r="D327" s="2" t="str">
        <f t="shared" si="10"/>
        <v>November</v>
      </c>
      <c r="E327" t="s">
        <v>624</v>
      </c>
      <c r="F327">
        <v>50</v>
      </c>
      <c r="G327" t="str">
        <f t="shared" si="11"/>
        <v>Senior</v>
      </c>
      <c r="H327" t="s">
        <v>42</v>
      </c>
      <c r="I327" t="s">
        <v>31</v>
      </c>
      <c r="J327" t="s">
        <v>24</v>
      </c>
      <c r="K327" t="s">
        <v>44</v>
      </c>
      <c r="L327" t="s">
        <v>224</v>
      </c>
      <c r="M327">
        <v>6</v>
      </c>
      <c r="N327">
        <v>7868</v>
      </c>
      <c r="O327">
        <v>47208</v>
      </c>
      <c r="P327" t="s">
        <v>61</v>
      </c>
      <c r="Q327">
        <v>5</v>
      </c>
      <c r="R327">
        <v>5</v>
      </c>
      <c r="S327" t="s">
        <v>28</v>
      </c>
    </row>
    <row r="328" spans="1:19" x14ac:dyDescent="0.3">
      <c r="A328">
        <v>325</v>
      </c>
      <c r="B328" t="s">
        <v>625</v>
      </c>
      <c r="C328" s="6">
        <v>45616</v>
      </c>
      <c r="D328" s="2" t="str">
        <f t="shared" si="10"/>
        <v>November</v>
      </c>
      <c r="E328" t="s">
        <v>626</v>
      </c>
      <c r="F328">
        <v>29</v>
      </c>
      <c r="G328" t="str">
        <f t="shared" si="11"/>
        <v>Teenager</v>
      </c>
      <c r="H328" t="s">
        <v>42</v>
      </c>
      <c r="I328" t="s">
        <v>49</v>
      </c>
      <c r="J328" t="s">
        <v>24</v>
      </c>
      <c r="K328" t="s">
        <v>25</v>
      </c>
      <c r="L328" t="s">
        <v>189</v>
      </c>
      <c r="M328">
        <v>3</v>
      </c>
      <c r="N328">
        <v>32702</v>
      </c>
      <c r="O328">
        <v>98106</v>
      </c>
      <c r="P328" t="s">
        <v>27</v>
      </c>
      <c r="Q328">
        <v>7</v>
      </c>
      <c r="R328">
        <v>2</v>
      </c>
      <c r="S328" t="s">
        <v>28</v>
      </c>
    </row>
    <row r="329" spans="1:19" x14ac:dyDescent="0.3">
      <c r="A329">
        <v>326</v>
      </c>
      <c r="B329" t="s">
        <v>627</v>
      </c>
      <c r="C329" s="6">
        <v>45617</v>
      </c>
      <c r="D329" s="2" t="str">
        <f t="shared" si="10"/>
        <v>November</v>
      </c>
      <c r="E329" t="s">
        <v>83</v>
      </c>
      <c r="F329">
        <v>21</v>
      </c>
      <c r="G329" t="str">
        <f t="shared" si="11"/>
        <v>Teenager</v>
      </c>
      <c r="H329" t="s">
        <v>42</v>
      </c>
      <c r="I329" t="s">
        <v>49</v>
      </c>
      <c r="J329" t="s">
        <v>50</v>
      </c>
      <c r="K329" t="s">
        <v>25</v>
      </c>
      <c r="L329" t="s">
        <v>26</v>
      </c>
      <c r="M329">
        <v>3</v>
      </c>
      <c r="N329">
        <v>3666</v>
      </c>
      <c r="O329">
        <v>10998</v>
      </c>
      <c r="P329" t="s">
        <v>53</v>
      </c>
      <c r="Q329">
        <v>6</v>
      </c>
      <c r="R329">
        <v>4</v>
      </c>
      <c r="S329" t="s">
        <v>28</v>
      </c>
    </row>
    <row r="330" spans="1:19" x14ac:dyDescent="0.3">
      <c r="A330">
        <v>327</v>
      </c>
      <c r="B330" t="s">
        <v>628</v>
      </c>
      <c r="C330" s="6">
        <v>45618</v>
      </c>
      <c r="D330" s="2" t="str">
        <f t="shared" si="10"/>
        <v>November</v>
      </c>
      <c r="E330" t="s">
        <v>246</v>
      </c>
      <c r="F330">
        <v>37</v>
      </c>
      <c r="G330" t="str">
        <f t="shared" si="11"/>
        <v>Adult</v>
      </c>
      <c r="H330" t="s">
        <v>42</v>
      </c>
      <c r="I330" t="s">
        <v>120</v>
      </c>
      <c r="J330" t="s">
        <v>50</v>
      </c>
      <c r="K330" t="s">
        <v>51</v>
      </c>
      <c r="L330" t="s">
        <v>111</v>
      </c>
      <c r="M330">
        <v>3</v>
      </c>
      <c r="N330">
        <v>1449</v>
      </c>
      <c r="O330">
        <v>4347</v>
      </c>
      <c r="P330" t="s">
        <v>116</v>
      </c>
      <c r="Q330">
        <v>5</v>
      </c>
      <c r="R330">
        <v>2</v>
      </c>
      <c r="S330" t="s">
        <v>28</v>
      </c>
    </row>
    <row r="331" spans="1:19" x14ac:dyDescent="0.3">
      <c r="A331">
        <v>328</v>
      </c>
      <c r="B331" t="s">
        <v>629</v>
      </c>
      <c r="C331" s="6">
        <v>45619</v>
      </c>
      <c r="D331" s="2" t="str">
        <f t="shared" si="10"/>
        <v>November</v>
      </c>
      <c r="E331" t="s">
        <v>192</v>
      </c>
      <c r="F331">
        <v>32</v>
      </c>
      <c r="G331" t="str">
        <f t="shared" si="11"/>
        <v>Adult</v>
      </c>
      <c r="H331" t="s">
        <v>22</v>
      </c>
      <c r="I331" t="s">
        <v>70</v>
      </c>
      <c r="J331" t="s">
        <v>24</v>
      </c>
      <c r="K331" t="s">
        <v>25</v>
      </c>
      <c r="L331" t="s">
        <v>189</v>
      </c>
      <c r="M331">
        <v>9</v>
      </c>
      <c r="N331">
        <v>49670</v>
      </c>
      <c r="O331">
        <v>447030</v>
      </c>
      <c r="P331" t="s">
        <v>116</v>
      </c>
      <c r="Q331">
        <v>1</v>
      </c>
      <c r="R331">
        <v>5</v>
      </c>
      <c r="S331" t="s">
        <v>46</v>
      </c>
    </row>
    <row r="332" spans="1:19" x14ac:dyDescent="0.3">
      <c r="A332">
        <v>329</v>
      </c>
      <c r="B332" t="s">
        <v>630</v>
      </c>
      <c r="C332" s="6">
        <v>45620</v>
      </c>
      <c r="D332" s="2" t="str">
        <f t="shared" si="10"/>
        <v>November</v>
      </c>
      <c r="E332" t="s">
        <v>541</v>
      </c>
      <c r="F332">
        <v>34</v>
      </c>
      <c r="G332" t="str">
        <f t="shared" si="11"/>
        <v>Adult</v>
      </c>
      <c r="H332" t="s">
        <v>42</v>
      </c>
      <c r="I332" t="s">
        <v>37</v>
      </c>
      <c r="J332" t="s">
        <v>32</v>
      </c>
      <c r="K332" t="s">
        <v>33</v>
      </c>
      <c r="L332" t="s">
        <v>34</v>
      </c>
      <c r="M332">
        <v>8</v>
      </c>
      <c r="N332">
        <v>38657</v>
      </c>
      <c r="O332">
        <v>309256</v>
      </c>
      <c r="P332" t="s">
        <v>53</v>
      </c>
      <c r="Q332">
        <v>6</v>
      </c>
      <c r="R332">
        <v>5</v>
      </c>
      <c r="S332" t="s">
        <v>28</v>
      </c>
    </row>
    <row r="333" spans="1:19" x14ac:dyDescent="0.3">
      <c r="A333">
        <v>330</v>
      </c>
      <c r="B333" t="s">
        <v>631</v>
      </c>
      <c r="C333" s="6">
        <v>45621</v>
      </c>
      <c r="D333" s="2" t="str">
        <f t="shared" si="10"/>
        <v>November</v>
      </c>
      <c r="E333" t="s">
        <v>632</v>
      </c>
      <c r="F333">
        <v>53</v>
      </c>
      <c r="G333" t="str">
        <f t="shared" si="11"/>
        <v>Senior</v>
      </c>
      <c r="H333" t="s">
        <v>22</v>
      </c>
      <c r="I333" t="s">
        <v>120</v>
      </c>
      <c r="J333" t="s">
        <v>50</v>
      </c>
      <c r="K333" t="s">
        <v>44</v>
      </c>
      <c r="L333" t="s">
        <v>91</v>
      </c>
      <c r="M333">
        <v>6</v>
      </c>
      <c r="N333">
        <v>14573</v>
      </c>
      <c r="O333">
        <v>87438</v>
      </c>
      <c r="P333" t="s">
        <v>116</v>
      </c>
      <c r="Q333">
        <v>9</v>
      </c>
      <c r="R333">
        <v>4</v>
      </c>
      <c r="S333" t="s">
        <v>46</v>
      </c>
    </row>
    <row r="334" spans="1:19" x14ac:dyDescent="0.3">
      <c r="A334">
        <v>331</v>
      </c>
      <c r="B334" t="s">
        <v>633</v>
      </c>
      <c r="C334" s="6">
        <v>45622</v>
      </c>
      <c r="D334" s="2" t="str">
        <f t="shared" si="10"/>
        <v>November</v>
      </c>
      <c r="E334" t="s">
        <v>399</v>
      </c>
      <c r="F334">
        <v>45</v>
      </c>
      <c r="G334" t="str">
        <f t="shared" si="11"/>
        <v>Adult</v>
      </c>
      <c r="H334" t="s">
        <v>42</v>
      </c>
      <c r="I334" t="s">
        <v>31</v>
      </c>
      <c r="J334" t="s">
        <v>32</v>
      </c>
      <c r="K334" t="s">
        <v>51</v>
      </c>
      <c r="L334" t="s">
        <v>52</v>
      </c>
      <c r="M334">
        <v>6</v>
      </c>
      <c r="N334">
        <v>947</v>
      </c>
      <c r="O334">
        <v>5682</v>
      </c>
      <c r="P334" t="s">
        <v>61</v>
      </c>
      <c r="Q334">
        <v>8</v>
      </c>
      <c r="R334">
        <v>1</v>
      </c>
      <c r="S334" t="s">
        <v>46</v>
      </c>
    </row>
    <row r="335" spans="1:19" x14ac:dyDescent="0.3">
      <c r="A335">
        <v>332</v>
      </c>
      <c r="B335" t="s">
        <v>634</v>
      </c>
      <c r="C335" s="6">
        <v>45623</v>
      </c>
      <c r="D335" s="2" t="str">
        <f t="shared" si="10"/>
        <v>November</v>
      </c>
      <c r="E335" t="s">
        <v>79</v>
      </c>
      <c r="F335">
        <v>53</v>
      </c>
      <c r="G335" t="str">
        <f t="shared" si="11"/>
        <v>Senior</v>
      </c>
      <c r="H335" t="s">
        <v>42</v>
      </c>
      <c r="I335" t="s">
        <v>23</v>
      </c>
      <c r="J335" t="s">
        <v>65</v>
      </c>
      <c r="K335" t="s">
        <v>44</v>
      </c>
      <c r="L335" t="s">
        <v>121</v>
      </c>
      <c r="M335">
        <v>6</v>
      </c>
      <c r="N335">
        <v>13542</v>
      </c>
      <c r="O335">
        <v>81252</v>
      </c>
      <c r="P335" t="s">
        <v>53</v>
      </c>
      <c r="Q335">
        <v>9</v>
      </c>
      <c r="R335">
        <v>4</v>
      </c>
      <c r="S335" t="s">
        <v>28</v>
      </c>
    </row>
    <row r="336" spans="1:19" x14ac:dyDescent="0.3">
      <c r="A336">
        <v>333</v>
      </c>
      <c r="B336" t="s">
        <v>635</v>
      </c>
      <c r="C336" s="6">
        <v>45624</v>
      </c>
      <c r="D336" s="2" t="str">
        <f t="shared" si="10"/>
        <v>November</v>
      </c>
      <c r="E336" t="s">
        <v>636</v>
      </c>
      <c r="F336">
        <v>47</v>
      </c>
      <c r="G336" t="str">
        <f t="shared" si="11"/>
        <v>Adult</v>
      </c>
      <c r="H336" t="s">
        <v>22</v>
      </c>
      <c r="I336" t="s">
        <v>23</v>
      </c>
      <c r="J336" t="s">
        <v>50</v>
      </c>
      <c r="K336" t="s">
        <v>51</v>
      </c>
      <c r="L336" t="s">
        <v>74</v>
      </c>
      <c r="M336">
        <v>4</v>
      </c>
      <c r="N336">
        <v>1015</v>
      </c>
      <c r="O336">
        <v>4060</v>
      </c>
      <c r="P336" t="s">
        <v>99</v>
      </c>
      <c r="Q336">
        <v>10</v>
      </c>
      <c r="R336">
        <v>5</v>
      </c>
      <c r="S336" t="s">
        <v>28</v>
      </c>
    </row>
    <row r="337" spans="1:19" x14ac:dyDescent="0.3">
      <c r="A337">
        <v>334</v>
      </c>
      <c r="B337" t="s">
        <v>637</v>
      </c>
      <c r="C337" s="6">
        <v>45625</v>
      </c>
      <c r="D337" s="2" t="str">
        <f t="shared" si="10"/>
        <v>November</v>
      </c>
      <c r="E337" t="s">
        <v>578</v>
      </c>
      <c r="F337">
        <v>43</v>
      </c>
      <c r="G337" t="str">
        <f t="shared" si="11"/>
        <v>Adult</v>
      </c>
      <c r="H337" t="s">
        <v>22</v>
      </c>
      <c r="I337" t="s">
        <v>23</v>
      </c>
      <c r="J337" t="s">
        <v>65</v>
      </c>
      <c r="K337" t="s">
        <v>25</v>
      </c>
      <c r="L337" t="s">
        <v>124</v>
      </c>
      <c r="M337">
        <v>10</v>
      </c>
      <c r="N337">
        <v>34283</v>
      </c>
      <c r="O337">
        <v>342830</v>
      </c>
      <c r="P337" t="s">
        <v>53</v>
      </c>
      <c r="Q337">
        <v>10</v>
      </c>
      <c r="R337">
        <v>1</v>
      </c>
      <c r="S337" t="s">
        <v>28</v>
      </c>
    </row>
    <row r="338" spans="1:19" x14ac:dyDescent="0.3">
      <c r="A338">
        <v>335</v>
      </c>
      <c r="B338" t="s">
        <v>638</v>
      </c>
      <c r="C338" s="6">
        <v>45626</v>
      </c>
      <c r="D338" s="2" t="str">
        <f t="shared" si="10"/>
        <v>November</v>
      </c>
      <c r="E338" t="s">
        <v>639</v>
      </c>
      <c r="F338">
        <v>19</v>
      </c>
      <c r="G338" t="str">
        <f t="shared" si="11"/>
        <v>Teenager</v>
      </c>
      <c r="H338" t="s">
        <v>22</v>
      </c>
      <c r="I338" t="s">
        <v>120</v>
      </c>
      <c r="J338" t="s">
        <v>50</v>
      </c>
      <c r="K338" t="s">
        <v>33</v>
      </c>
      <c r="L338" t="s">
        <v>153</v>
      </c>
      <c r="M338">
        <v>2</v>
      </c>
      <c r="N338">
        <v>36460</v>
      </c>
      <c r="O338">
        <v>72920</v>
      </c>
      <c r="P338" t="s">
        <v>27</v>
      </c>
      <c r="Q338">
        <v>5</v>
      </c>
      <c r="R338">
        <v>5</v>
      </c>
      <c r="S338" t="s">
        <v>28</v>
      </c>
    </row>
    <row r="339" spans="1:19" x14ac:dyDescent="0.3">
      <c r="A339">
        <v>336</v>
      </c>
      <c r="B339" t="s">
        <v>640</v>
      </c>
      <c r="C339" s="6">
        <v>45627</v>
      </c>
      <c r="D339" s="2" t="str">
        <f t="shared" si="10"/>
        <v>December</v>
      </c>
      <c r="E339" t="s">
        <v>615</v>
      </c>
      <c r="F339">
        <v>41</v>
      </c>
      <c r="G339" t="str">
        <f t="shared" si="11"/>
        <v>Adult</v>
      </c>
      <c r="H339" t="s">
        <v>42</v>
      </c>
      <c r="I339" t="s">
        <v>23</v>
      </c>
      <c r="J339" t="s">
        <v>65</v>
      </c>
      <c r="K339" t="s">
        <v>51</v>
      </c>
      <c r="L339" t="s">
        <v>86</v>
      </c>
      <c r="M339">
        <v>8</v>
      </c>
      <c r="N339">
        <v>680</v>
      </c>
      <c r="O339">
        <v>5440</v>
      </c>
      <c r="P339" t="s">
        <v>27</v>
      </c>
      <c r="Q339">
        <v>10</v>
      </c>
      <c r="R339">
        <v>4</v>
      </c>
      <c r="S339" t="s">
        <v>28</v>
      </c>
    </row>
    <row r="340" spans="1:19" x14ac:dyDescent="0.3">
      <c r="A340">
        <v>337</v>
      </c>
      <c r="B340" t="s">
        <v>641</v>
      </c>
      <c r="C340" s="6">
        <v>45628</v>
      </c>
      <c r="D340" s="2" t="str">
        <f t="shared" si="10"/>
        <v>December</v>
      </c>
      <c r="E340" t="s">
        <v>642</v>
      </c>
      <c r="F340">
        <v>58</v>
      </c>
      <c r="G340" t="str">
        <f t="shared" si="11"/>
        <v>Senior</v>
      </c>
      <c r="H340" t="s">
        <v>22</v>
      </c>
      <c r="I340" t="s">
        <v>37</v>
      </c>
      <c r="J340" t="s">
        <v>32</v>
      </c>
      <c r="K340" t="s">
        <v>25</v>
      </c>
      <c r="L340" t="s">
        <v>124</v>
      </c>
      <c r="M340">
        <v>6</v>
      </c>
      <c r="N340">
        <v>14687</v>
      </c>
      <c r="O340">
        <v>88122</v>
      </c>
      <c r="P340" t="s">
        <v>99</v>
      </c>
      <c r="Q340">
        <v>10</v>
      </c>
      <c r="R340">
        <v>3</v>
      </c>
      <c r="S340" t="s">
        <v>28</v>
      </c>
    </row>
    <row r="341" spans="1:19" x14ac:dyDescent="0.3">
      <c r="A341">
        <v>338</v>
      </c>
      <c r="B341" t="s">
        <v>643</v>
      </c>
      <c r="C341" s="6">
        <v>45629</v>
      </c>
      <c r="D341" s="2" t="str">
        <f t="shared" si="10"/>
        <v>December</v>
      </c>
      <c r="E341" t="s">
        <v>644</v>
      </c>
      <c r="F341">
        <v>30</v>
      </c>
      <c r="G341" t="str">
        <f t="shared" si="11"/>
        <v>Adult</v>
      </c>
      <c r="H341" t="s">
        <v>42</v>
      </c>
      <c r="I341" t="s">
        <v>120</v>
      </c>
      <c r="J341" t="s">
        <v>24</v>
      </c>
      <c r="K341" t="s">
        <v>25</v>
      </c>
      <c r="L341" t="s">
        <v>124</v>
      </c>
      <c r="M341">
        <v>3</v>
      </c>
      <c r="N341">
        <v>29662</v>
      </c>
      <c r="O341">
        <v>88986</v>
      </c>
      <c r="P341" t="s">
        <v>27</v>
      </c>
      <c r="Q341">
        <v>6</v>
      </c>
      <c r="R341">
        <v>4</v>
      </c>
      <c r="S341" t="s">
        <v>46</v>
      </c>
    </row>
    <row r="342" spans="1:19" x14ac:dyDescent="0.3">
      <c r="A342">
        <v>339</v>
      </c>
      <c r="B342" t="s">
        <v>645</v>
      </c>
      <c r="C342" s="6">
        <v>45630</v>
      </c>
      <c r="D342" s="2" t="str">
        <f t="shared" si="10"/>
        <v>December</v>
      </c>
      <c r="E342" t="s">
        <v>439</v>
      </c>
      <c r="F342">
        <v>38</v>
      </c>
      <c r="G342" t="str">
        <f t="shared" si="11"/>
        <v>Adult</v>
      </c>
      <c r="H342" t="s">
        <v>42</v>
      </c>
      <c r="I342" t="s">
        <v>64</v>
      </c>
      <c r="J342" t="s">
        <v>65</v>
      </c>
      <c r="K342" t="s">
        <v>38</v>
      </c>
      <c r="L342" t="s">
        <v>71</v>
      </c>
      <c r="M342">
        <v>9</v>
      </c>
      <c r="N342">
        <v>23624</v>
      </c>
      <c r="O342">
        <v>212616</v>
      </c>
      <c r="P342" t="s">
        <v>61</v>
      </c>
      <c r="Q342">
        <v>4</v>
      </c>
      <c r="R342">
        <v>2</v>
      </c>
      <c r="S342" t="s">
        <v>46</v>
      </c>
    </row>
    <row r="343" spans="1:19" x14ac:dyDescent="0.3">
      <c r="A343">
        <v>340</v>
      </c>
      <c r="B343" t="s">
        <v>646</v>
      </c>
      <c r="C343" s="6">
        <v>45631</v>
      </c>
      <c r="D343" s="2" t="str">
        <f t="shared" si="10"/>
        <v>December</v>
      </c>
      <c r="E343" t="s">
        <v>647</v>
      </c>
      <c r="F343">
        <v>39</v>
      </c>
      <c r="G343" t="str">
        <f t="shared" si="11"/>
        <v>Adult</v>
      </c>
      <c r="H343" t="s">
        <v>42</v>
      </c>
      <c r="I343" t="s">
        <v>80</v>
      </c>
      <c r="J343" t="s">
        <v>65</v>
      </c>
      <c r="K343" t="s">
        <v>38</v>
      </c>
      <c r="L343" t="s">
        <v>96</v>
      </c>
      <c r="M343">
        <v>1</v>
      </c>
      <c r="N343">
        <v>40097</v>
      </c>
      <c r="O343">
        <v>40097</v>
      </c>
      <c r="P343" t="s">
        <v>27</v>
      </c>
      <c r="Q343">
        <v>1</v>
      </c>
      <c r="R343">
        <v>1</v>
      </c>
      <c r="S343" t="s">
        <v>46</v>
      </c>
    </row>
    <row r="344" spans="1:19" x14ac:dyDescent="0.3">
      <c r="A344">
        <v>341</v>
      </c>
      <c r="B344" t="s">
        <v>648</v>
      </c>
      <c r="C344" s="6">
        <v>45632</v>
      </c>
      <c r="D344" s="2" t="str">
        <f t="shared" si="10"/>
        <v>December</v>
      </c>
      <c r="E344" t="s">
        <v>385</v>
      </c>
      <c r="F344">
        <v>41</v>
      </c>
      <c r="G344" t="str">
        <f t="shared" si="11"/>
        <v>Adult</v>
      </c>
      <c r="H344" t="s">
        <v>22</v>
      </c>
      <c r="I344" t="s">
        <v>43</v>
      </c>
      <c r="J344" t="s">
        <v>32</v>
      </c>
      <c r="K344" t="s">
        <v>33</v>
      </c>
      <c r="L344" t="s">
        <v>173</v>
      </c>
      <c r="M344">
        <v>7</v>
      </c>
      <c r="N344">
        <v>33314</v>
      </c>
      <c r="O344">
        <v>233198</v>
      </c>
      <c r="P344" t="s">
        <v>61</v>
      </c>
      <c r="Q344">
        <v>7</v>
      </c>
      <c r="R344">
        <v>2</v>
      </c>
      <c r="S344" t="s">
        <v>28</v>
      </c>
    </row>
    <row r="345" spans="1:19" x14ac:dyDescent="0.3">
      <c r="A345">
        <v>342</v>
      </c>
      <c r="B345" t="s">
        <v>649</v>
      </c>
      <c r="C345" s="6">
        <v>45633</v>
      </c>
      <c r="D345" s="2" t="str">
        <f t="shared" si="10"/>
        <v>December</v>
      </c>
      <c r="E345" t="s">
        <v>521</v>
      </c>
      <c r="F345">
        <v>52</v>
      </c>
      <c r="G345" t="str">
        <f t="shared" si="11"/>
        <v>Senior</v>
      </c>
      <c r="H345" t="s">
        <v>42</v>
      </c>
      <c r="I345" t="s">
        <v>64</v>
      </c>
      <c r="J345" t="s">
        <v>50</v>
      </c>
      <c r="K345" t="s">
        <v>44</v>
      </c>
      <c r="L345" t="s">
        <v>45</v>
      </c>
      <c r="M345">
        <v>4</v>
      </c>
      <c r="N345">
        <v>16236</v>
      </c>
      <c r="O345">
        <v>64944</v>
      </c>
      <c r="P345" t="s">
        <v>53</v>
      </c>
      <c r="Q345">
        <v>3</v>
      </c>
      <c r="R345">
        <v>2</v>
      </c>
      <c r="S345" t="s">
        <v>46</v>
      </c>
    </row>
    <row r="346" spans="1:19" x14ac:dyDescent="0.3">
      <c r="A346">
        <v>343</v>
      </c>
      <c r="B346" t="s">
        <v>650</v>
      </c>
      <c r="C346" s="6">
        <v>45634</v>
      </c>
      <c r="D346" s="2" t="str">
        <f t="shared" si="10"/>
        <v>December</v>
      </c>
      <c r="E346" t="s">
        <v>271</v>
      </c>
      <c r="F346">
        <v>53</v>
      </c>
      <c r="G346" t="str">
        <f t="shared" si="11"/>
        <v>Senior</v>
      </c>
      <c r="H346" t="s">
        <v>22</v>
      </c>
      <c r="I346" t="s">
        <v>70</v>
      </c>
      <c r="J346" t="s">
        <v>50</v>
      </c>
      <c r="K346" t="s">
        <v>38</v>
      </c>
      <c r="L346" t="s">
        <v>39</v>
      </c>
      <c r="M346">
        <v>10</v>
      </c>
      <c r="N346">
        <v>18834</v>
      </c>
      <c r="O346">
        <v>188340</v>
      </c>
      <c r="P346" t="s">
        <v>27</v>
      </c>
      <c r="Q346">
        <v>8</v>
      </c>
      <c r="R346">
        <v>4</v>
      </c>
      <c r="S346" t="s">
        <v>28</v>
      </c>
    </row>
    <row r="347" spans="1:19" x14ac:dyDescent="0.3">
      <c r="A347">
        <v>344</v>
      </c>
      <c r="B347" t="s">
        <v>651</v>
      </c>
      <c r="C347" s="6">
        <v>45635</v>
      </c>
      <c r="D347" s="2" t="str">
        <f t="shared" si="10"/>
        <v>December</v>
      </c>
      <c r="E347" t="s">
        <v>652</v>
      </c>
      <c r="F347">
        <v>60</v>
      </c>
      <c r="G347" t="str">
        <f t="shared" si="11"/>
        <v>Senior</v>
      </c>
      <c r="H347" t="s">
        <v>22</v>
      </c>
      <c r="I347" t="s">
        <v>49</v>
      </c>
      <c r="J347" t="s">
        <v>32</v>
      </c>
      <c r="K347" t="s">
        <v>38</v>
      </c>
      <c r="L347" t="s">
        <v>96</v>
      </c>
      <c r="M347">
        <v>10</v>
      </c>
      <c r="N347">
        <v>44639</v>
      </c>
      <c r="O347">
        <v>446390</v>
      </c>
      <c r="P347" t="s">
        <v>27</v>
      </c>
      <c r="Q347">
        <v>1</v>
      </c>
      <c r="R347">
        <v>2</v>
      </c>
      <c r="S347" t="s">
        <v>46</v>
      </c>
    </row>
    <row r="348" spans="1:19" x14ac:dyDescent="0.3">
      <c r="A348">
        <v>345</v>
      </c>
      <c r="B348" t="s">
        <v>653</v>
      </c>
      <c r="C348" s="6">
        <v>45636</v>
      </c>
      <c r="D348" s="2" t="str">
        <f t="shared" si="10"/>
        <v>December</v>
      </c>
      <c r="E348" t="s">
        <v>456</v>
      </c>
      <c r="F348">
        <v>18</v>
      </c>
      <c r="G348" t="str">
        <f t="shared" si="11"/>
        <v>Teenager</v>
      </c>
      <c r="H348" t="s">
        <v>22</v>
      </c>
      <c r="I348" t="s">
        <v>37</v>
      </c>
      <c r="J348" t="s">
        <v>50</v>
      </c>
      <c r="K348" t="s">
        <v>25</v>
      </c>
      <c r="L348" t="s">
        <v>94</v>
      </c>
      <c r="M348">
        <v>10</v>
      </c>
      <c r="N348">
        <v>38730</v>
      </c>
      <c r="O348">
        <v>387300</v>
      </c>
      <c r="P348" t="s">
        <v>61</v>
      </c>
      <c r="Q348">
        <v>2</v>
      </c>
      <c r="R348">
        <v>1</v>
      </c>
      <c r="S348" t="s">
        <v>46</v>
      </c>
    </row>
    <row r="349" spans="1:19" x14ac:dyDescent="0.3">
      <c r="A349">
        <v>346</v>
      </c>
      <c r="B349" t="s">
        <v>654</v>
      </c>
      <c r="C349" s="6">
        <v>45637</v>
      </c>
      <c r="D349" s="2" t="str">
        <f t="shared" si="10"/>
        <v>December</v>
      </c>
      <c r="E349" t="s">
        <v>655</v>
      </c>
      <c r="F349">
        <v>39</v>
      </c>
      <c r="G349" t="str">
        <f t="shared" si="11"/>
        <v>Adult</v>
      </c>
      <c r="H349" t="s">
        <v>22</v>
      </c>
      <c r="I349" t="s">
        <v>80</v>
      </c>
      <c r="J349" t="s">
        <v>50</v>
      </c>
      <c r="K349" t="s">
        <v>51</v>
      </c>
      <c r="L349" t="s">
        <v>86</v>
      </c>
      <c r="M349">
        <v>8</v>
      </c>
      <c r="N349">
        <v>1179</v>
      </c>
      <c r="O349">
        <v>9432</v>
      </c>
      <c r="P349" t="s">
        <v>99</v>
      </c>
      <c r="Q349">
        <v>3</v>
      </c>
      <c r="R349">
        <v>5</v>
      </c>
      <c r="S349" t="s">
        <v>46</v>
      </c>
    </row>
    <row r="350" spans="1:19" x14ac:dyDescent="0.3">
      <c r="A350">
        <v>347</v>
      </c>
      <c r="B350" t="s">
        <v>656</v>
      </c>
      <c r="C350" s="6">
        <v>45638</v>
      </c>
      <c r="D350" s="2" t="str">
        <f t="shared" si="10"/>
        <v>December</v>
      </c>
      <c r="E350" t="s">
        <v>657</v>
      </c>
      <c r="F350">
        <v>57</v>
      </c>
      <c r="G350" t="str">
        <f t="shared" si="11"/>
        <v>Senior</v>
      </c>
      <c r="H350" t="s">
        <v>42</v>
      </c>
      <c r="I350" t="s">
        <v>102</v>
      </c>
      <c r="J350" t="s">
        <v>65</v>
      </c>
      <c r="K350" t="s">
        <v>44</v>
      </c>
      <c r="L350" t="s">
        <v>224</v>
      </c>
      <c r="M350">
        <v>5</v>
      </c>
      <c r="N350">
        <v>9477</v>
      </c>
      <c r="O350">
        <v>47385</v>
      </c>
      <c r="P350" t="s">
        <v>53</v>
      </c>
      <c r="Q350">
        <v>10</v>
      </c>
      <c r="R350">
        <v>2</v>
      </c>
      <c r="S350" t="s">
        <v>46</v>
      </c>
    </row>
    <row r="351" spans="1:19" x14ac:dyDescent="0.3">
      <c r="A351">
        <v>348</v>
      </c>
      <c r="B351" t="s">
        <v>658</v>
      </c>
      <c r="C351" s="6">
        <v>45639</v>
      </c>
      <c r="D351" s="2" t="str">
        <f t="shared" si="10"/>
        <v>December</v>
      </c>
      <c r="E351" t="s">
        <v>391</v>
      </c>
      <c r="F351">
        <v>27</v>
      </c>
      <c r="G351" t="str">
        <f t="shared" si="11"/>
        <v>Teenager</v>
      </c>
      <c r="H351" t="s">
        <v>22</v>
      </c>
      <c r="I351" t="s">
        <v>37</v>
      </c>
      <c r="J351" t="s">
        <v>50</v>
      </c>
      <c r="K351" t="s">
        <v>44</v>
      </c>
      <c r="L351" t="s">
        <v>121</v>
      </c>
      <c r="M351">
        <v>9</v>
      </c>
      <c r="N351">
        <v>21754</v>
      </c>
      <c r="O351">
        <v>195786</v>
      </c>
      <c r="P351" t="s">
        <v>61</v>
      </c>
      <c r="Q351">
        <v>8</v>
      </c>
      <c r="R351">
        <v>4</v>
      </c>
      <c r="S351" t="s">
        <v>28</v>
      </c>
    </row>
    <row r="352" spans="1:19" x14ac:dyDescent="0.3">
      <c r="A352">
        <v>349</v>
      </c>
      <c r="B352" t="s">
        <v>659</v>
      </c>
      <c r="C352" s="6">
        <v>45640</v>
      </c>
      <c r="D352" s="2" t="str">
        <f t="shared" si="10"/>
        <v>December</v>
      </c>
      <c r="E352" t="s">
        <v>660</v>
      </c>
      <c r="F352">
        <v>40</v>
      </c>
      <c r="G352" t="str">
        <f t="shared" si="11"/>
        <v>Adult</v>
      </c>
      <c r="H352" t="s">
        <v>42</v>
      </c>
      <c r="I352" t="s">
        <v>49</v>
      </c>
      <c r="J352" t="s">
        <v>50</v>
      </c>
      <c r="K352" t="s">
        <v>44</v>
      </c>
      <c r="L352" t="s">
        <v>178</v>
      </c>
      <c r="M352">
        <v>3</v>
      </c>
      <c r="N352">
        <v>43186</v>
      </c>
      <c r="O352">
        <v>129558</v>
      </c>
      <c r="P352" t="s">
        <v>116</v>
      </c>
      <c r="Q352">
        <v>6</v>
      </c>
      <c r="R352">
        <v>5</v>
      </c>
      <c r="S352" t="s">
        <v>28</v>
      </c>
    </row>
    <row r="353" spans="1:19" x14ac:dyDescent="0.3">
      <c r="A353">
        <v>350</v>
      </c>
      <c r="B353" t="s">
        <v>661</v>
      </c>
      <c r="C353" s="6">
        <v>45641</v>
      </c>
      <c r="D353" s="2" t="str">
        <f t="shared" si="10"/>
        <v>December</v>
      </c>
      <c r="E353" t="s">
        <v>549</v>
      </c>
      <c r="F353">
        <v>56</v>
      </c>
      <c r="G353" t="str">
        <f t="shared" si="11"/>
        <v>Senior</v>
      </c>
      <c r="H353" t="s">
        <v>22</v>
      </c>
      <c r="I353" t="s">
        <v>70</v>
      </c>
      <c r="J353" t="s">
        <v>65</v>
      </c>
      <c r="K353" t="s">
        <v>51</v>
      </c>
      <c r="L353" t="s">
        <v>74</v>
      </c>
      <c r="M353">
        <v>7</v>
      </c>
      <c r="N353">
        <v>474</v>
      </c>
      <c r="O353">
        <v>3318</v>
      </c>
      <c r="P353" t="s">
        <v>99</v>
      </c>
      <c r="Q353">
        <v>7</v>
      </c>
      <c r="R353">
        <v>2</v>
      </c>
      <c r="S353" t="s">
        <v>28</v>
      </c>
    </row>
    <row r="354" spans="1:19" x14ac:dyDescent="0.3">
      <c r="A354">
        <v>351</v>
      </c>
      <c r="B354" t="s">
        <v>662</v>
      </c>
      <c r="C354" s="6">
        <v>45642</v>
      </c>
      <c r="D354" s="2" t="str">
        <f t="shared" si="10"/>
        <v>December</v>
      </c>
      <c r="E354" t="s">
        <v>394</v>
      </c>
      <c r="F354">
        <v>53</v>
      </c>
      <c r="G354" t="str">
        <f t="shared" si="11"/>
        <v>Senior</v>
      </c>
      <c r="H354" t="s">
        <v>42</v>
      </c>
      <c r="I354" t="s">
        <v>31</v>
      </c>
      <c r="J354" t="s">
        <v>32</v>
      </c>
      <c r="K354" t="s">
        <v>38</v>
      </c>
      <c r="L354" t="s">
        <v>96</v>
      </c>
      <c r="M354">
        <v>7</v>
      </c>
      <c r="N354">
        <v>32219</v>
      </c>
      <c r="O354">
        <v>225533</v>
      </c>
      <c r="P354" t="s">
        <v>61</v>
      </c>
      <c r="Q354">
        <v>4</v>
      </c>
      <c r="R354">
        <v>4</v>
      </c>
      <c r="S354" t="s">
        <v>28</v>
      </c>
    </row>
    <row r="355" spans="1:19" x14ac:dyDescent="0.3">
      <c r="A355">
        <v>352</v>
      </c>
      <c r="B355" t="s">
        <v>663</v>
      </c>
      <c r="C355" s="6">
        <v>45643</v>
      </c>
      <c r="D355" s="2" t="str">
        <f t="shared" si="10"/>
        <v>December</v>
      </c>
      <c r="E355" t="s">
        <v>166</v>
      </c>
      <c r="F355">
        <v>31</v>
      </c>
      <c r="G355" t="str">
        <f t="shared" si="11"/>
        <v>Adult</v>
      </c>
      <c r="H355" t="s">
        <v>22</v>
      </c>
      <c r="I355" t="s">
        <v>80</v>
      </c>
      <c r="J355" t="s">
        <v>32</v>
      </c>
      <c r="K355" t="s">
        <v>51</v>
      </c>
      <c r="L355" t="s">
        <v>74</v>
      </c>
      <c r="M355">
        <v>6</v>
      </c>
      <c r="N355">
        <v>1165</v>
      </c>
      <c r="O355">
        <v>6990</v>
      </c>
      <c r="P355" t="s">
        <v>53</v>
      </c>
      <c r="Q355">
        <v>1</v>
      </c>
      <c r="R355">
        <v>4</v>
      </c>
      <c r="S355" t="s">
        <v>28</v>
      </c>
    </row>
    <row r="356" spans="1:19" x14ac:dyDescent="0.3">
      <c r="A356">
        <v>353</v>
      </c>
      <c r="B356" t="s">
        <v>664</v>
      </c>
      <c r="C356" s="6">
        <v>45644</v>
      </c>
      <c r="D356" s="2" t="str">
        <f t="shared" si="10"/>
        <v>December</v>
      </c>
      <c r="E356" t="s">
        <v>402</v>
      </c>
      <c r="F356">
        <v>23</v>
      </c>
      <c r="G356" t="str">
        <f t="shared" si="11"/>
        <v>Teenager</v>
      </c>
      <c r="H356" t="s">
        <v>42</v>
      </c>
      <c r="I356" t="s">
        <v>70</v>
      </c>
      <c r="J356" t="s">
        <v>65</v>
      </c>
      <c r="K356" t="s">
        <v>33</v>
      </c>
      <c r="L356" t="s">
        <v>89</v>
      </c>
      <c r="M356">
        <v>2</v>
      </c>
      <c r="N356">
        <v>20527</v>
      </c>
      <c r="O356">
        <v>41054</v>
      </c>
      <c r="P356" t="s">
        <v>27</v>
      </c>
      <c r="Q356">
        <v>4</v>
      </c>
      <c r="R356">
        <v>1</v>
      </c>
      <c r="S356" t="s">
        <v>46</v>
      </c>
    </row>
    <row r="357" spans="1:19" x14ac:dyDescent="0.3">
      <c r="A357">
        <v>354</v>
      </c>
      <c r="B357" t="s">
        <v>665</v>
      </c>
      <c r="C357" s="6">
        <v>45645</v>
      </c>
      <c r="D357" s="2" t="str">
        <f t="shared" si="10"/>
        <v>December</v>
      </c>
      <c r="E357" t="s">
        <v>666</v>
      </c>
      <c r="F357">
        <v>30</v>
      </c>
      <c r="G357" t="str">
        <f t="shared" si="11"/>
        <v>Adult</v>
      </c>
      <c r="H357" t="s">
        <v>22</v>
      </c>
      <c r="I357" t="s">
        <v>37</v>
      </c>
      <c r="J357" t="s">
        <v>24</v>
      </c>
      <c r="K357" t="s">
        <v>38</v>
      </c>
      <c r="L357" t="s">
        <v>81</v>
      </c>
      <c r="M357">
        <v>1</v>
      </c>
      <c r="N357">
        <v>38334</v>
      </c>
      <c r="O357">
        <v>38334</v>
      </c>
      <c r="P357" t="s">
        <v>61</v>
      </c>
      <c r="Q357">
        <v>7</v>
      </c>
      <c r="R357">
        <v>5</v>
      </c>
      <c r="S357" t="s">
        <v>46</v>
      </c>
    </row>
    <row r="358" spans="1:19" x14ac:dyDescent="0.3">
      <c r="A358">
        <v>355</v>
      </c>
      <c r="B358" t="s">
        <v>667</v>
      </c>
      <c r="C358" s="6">
        <v>45646</v>
      </c>
      <c r="D358" s="2" t="str">
        <f t="shared" si="10"/>
        <v>December</v>
      </c>
      <c r="E358" t="s">
        <v>564</v>
      </c>
      <c r="F358">
        <v>46</v>
      </c>
      <c r="G358" t="str">
        <f t="shared" si="11"/>
        <v>Adult</v>
      </c>
      <c r="H358" t="s">
        <v>22</v>
      </c>
      <c r="I358" t="s">
        <v>64</v>
      </c>
      <c r="J358" t="s">
        <v>50</v>
      </c>
      <c r="K358" t="s">
        <v>25</v>
      </c>
      <c r="L358" t="s">
        <v>26</v>
      </c>
      <c r="M358">
        <v>2</v>
      </c>
      <c r="N358">
        <v>37674</v>
      </c>
      <c r="O358">
        <v>75348</v>
      </c>
      <c r="P358" t="s">
        <v>99</v>
      </c>
      <c r="Q358">
        <v>4</v>
      </c>
      <c r="R358">
        <v>4</v>
      </c>
      <c r="S358" t="s">
        <v>46</v>
      </c>
    </row>
    <row r="359" spans="1:19" x14ac:dyDescent="0.3">
      <c r="A359">
        <v>356</v>
      </c>
      <c r="B359" t="s">
        <v>668</v>
      </c>
      <c r="C359" s="6">
        <v>45647</v>
      </c>
      <c r="D359" s="2" t="str">
        <f t="shared" si="10"/>
        <v>December</v>
      </c>
      <c r="E359" t="s">
        <v>669</v>
      </c>
      <c r="F359">
        <v>40</v>
      </c>
      <c r="G359" t="str">
        <f t="shared" si="11"/>
        <v>Adult</v>
      </c>
      <c r="H359" t="s">
        <v>42</v>
      </c>
      <c r="I359" t="s">
        <v>37</v>
      </c>
      <c r="J359" t="s">
        <v>32</v>
      </c>
      <c r="K359" t="s">
        <v>33</v>
      </c>
      <c r="L359" t="s">
        <v>160</v>
      </c>
      <c r="M359">
        <v>8</v>
      </c>
      <c r="N359">
        <v>16978</v>
      </c>
      <c r="O359">
        <v>135824</v>
      </c>
      <c r="P359" t="s">
        <v>27</v>
      </c>
      <c r="Q359">
        <v>3</v>
      </c>
      <c r="R359">
        <v>1</v>
      </c>
      <c r="S359" t="s">
        <v>28</v>
      </c>
    </row>
    <row r="360" spans="1:19" x14ac:dyDescent="0.3">
      <c r="A360">
        <v>357</v>
      </c>
      <c r="B360" t="s">
        <v>670</v>
      </c>
      <c r="C360" s="6">
        <v>45648</v>
      </c>
      <c r="D360" s="2" t="str">
        <f t="shared" si="10"/>
        <v>December</v>
      </c>
      <c r="E360" t="s">
        <v>172</v>
      </c>
      <c r="F360">
        <v>37</v>
      </c>
      <c r="G360" t="str">
        <f t="shared" si="11"/>
        <v>Adult</v>
      </c>
      <c r="H360" t="s">
        <v>42</v>
      </c>
      <c r="I360" t="s">
        <v>64</v>
      </c>
      <c r="J360" t="s">
        <v>65</v>
      </c>
      <c r="K360" t="s">
        <v>44</v>
      </c>
      <c r="L360" t="s">
        <v>91</v>
      </c>
      <c r="M360">
        <v>8</v>
      </c>
      <c r="N360">
        <v>1435</v>
      </c>
      <c r="O360">
        <v>11480</v>
      </c>
      <c r="P360" t="s">
        <v>27</v>
      </c>
      <c r="Q360">
        <v>7</v>
      </c>
      <c r="R360">
        <v>4</v>
      </c>
      <c r="S360" t="s">
        <v>46</v>
      </c>
    </row>
    <row r="361" spans="1:19" x14ac:dyDescent="0.3">
      <c r="A361">
        <v>358</v>
      </c>
      <c r="B361" t="s">
        <v>671</v>
      </c>
      <c r="C361" s="6">
        <v>45649</v>
      </c>
      <c r="D361" s="2" t="str">
        <f t="shared" si="10"/>
        <v>December</v>
      </c>
      <c r="E361" t="s">
        <v>672</v>
      </c>
      <c r="F361">
        <v>45</v>
      </c>
      <c r="G361" t="str">
        <f t="shared" si="11"/>
        <v>Adult</v>
      </c>
      <c r="H361" t="s">
        <v>22</v>
      </c>
      <c r="I361" t="s">
        <v>49</v>
      </c>
      <c r="J361" t="s">
        <v>50</v>
      </c>
      <c r="K361" t="s">
        <v>33</v>
      </c>
      <c r="L361" t="s">
        <v>173</v>
      </c>
      <c r="M361">
        <v>7</v>
      </c>
      <c r="N361">
        <v>35924</v>
      </c>
      <c r="O361">
        <v>251468</v>
      </c>
      <c r="P361" t="s">
        <v>116</v>
      </c>
      <c r="Q361">
        <v>3</v>
      </c>
      <c r="R361">
        <v>4</v>
      </c>
      <c r="S361" t="s">
        <v>46</v>
      </c>
    </row>
    <row r="362" spans="1:19" x14ac:dyDescent="0.3">
      <c r="A362">
        <v>359</v>
      </c>
      <c r="B362" t="s">
        <v>673</v>
      </c>
      <c r="C362" s="6">
        <v>45650</v>
      </c>
      <c r="D362" s="2" t="str">
        <f t="shared" si="10"/>
        <v>December</v>
      </c>
      <c r="E362" t="s">
        <v>674</v>
      </c>
      <c r="F362">
        <v>26</v>
      </c>
      <c r="G362" t="str">
        <f t="shared" si="11"/>
        <v>Teenager</v>
      </c>
      <c r="H362" t="s">
        <v>42</v>
      </c>
      <c r="I362" t="s">
        <v>102</v>
      </c>
      <c r="J362" t="s">
        <v>32</v>
      </c>
      <c r="K362" t="s">
        <v>44</v>
      </c>
      <c r="L362" t="s">
        <v>91</v>
      </c>
      <c r="M362">
        <v>2</v>
      </c>
      <c r="N362">
        <v>27461</v>
      </c>
      <c r="O362">
        <v>54922</v>
      </c>
      <c r="P362" t="s">
        <v>27</v>
      </c>
      <c r="Q362">
        <v>5</v>
      </c>
      <c r="R362">
        <v>2</v>
      </c>
      <c r="S362" t="s">
        <v>46</v>
      </c>
    </row>
    <row r="363" spans="1:19" x14ac:dyDescent="0.3">
      <c r="A363">
        <v>360</v>
      </c>
      <c r="B363" t="s">
        <v>675</v>
      </c>
      <c r="C363" s="6">
        <v>45651</v>
      </c>
      <c r="D363" s="2" t="str">
        <f t="shared" si="10"/>
        <v>December</v>
      </c>
      <c r="E363" t="s">
        <v>157</v>
      </c>
      <c r="F363">
        <v>24</v>
      </c>
      <c r="G363" t="str">
        <f t="shared" si="11"/>
        <v>Teenager</v>
      </c>
      <c r="H363" t="s">
        <v>42</v>
      </c>
      <c r="I363" t="s">
        <v>102</v>
      </c>
      <c r="J363" t="s">
        <v>24</v>
      </c>
      <c r="K363" t="s">
        <v>51</v>
      </c>
      <c r="L363" t="s">
        <v>60</v>
      </c>
      <c r="M363">
        <v>9</v>
      </c>
      <c r="N363">
        <v>463</v>
      </c>
      <c r="O363">
        <v>4167</v>
      </c>
      <c r="P363" t="s">
        <v>99</v>
      </c>
      <c r="Q363">
        <v>4</v>
      </c>
      <c r="R363">
        <v>3</v>
      </c>
      <c r="S363" t="s">
        <v>46</v>
      </c>
    </row>
    <row r="364" spans="1:19" x14ac:dyDescent="0.3">
      <c r="A364">
        <v>361</v>
      </c>
      <c r="B364" t="s">
        <v>676</v>
      </c>
      <c r="C364" s="6">
        <v>45652</v>
      </c>
      <c r="D364" s="2" t="str">
        <f t="shared" si="10"/>
        <v>December</v>
      </c>
      <c r="E364" t="s">
        <v>298</v>
      </c>
      <c r="F364">
        <v>54</v>
      </c>
      <c r="G364" t="str">
        <f t="shared" si="11"/>
        <v>Senior</v>
      </c>
      <c r="H364" t="s">
        <v>22</v>
      </c>
      <c r="I364" t="s">
        <v>64</v>
      </c>
      <c r="J364" t="s">
        <v>65</v>
      </c>
      <c r="K364" t="s">
        <v>38</v>
      </c>
      <c r="L364" t="s">
        <v>81</v>
      </c>
      <c r="M364">
        <v>8</v>
      </c>
      <c r="N364">
        <v>2993</v>
      </c>
      <c r="O364">
        <v>23944</v>
      </c>
      <c r="P364" t="s">
        <v>53</v>
      </c>
      <c r="Q364">
        <v>3</v>
      </c>
      <c r="R364">
        <v>4</v>
      </c>
      <c r="S364" t="s">
        <v>28</v>
      </c>
    </row>
    <row r="365" spans="1:19" x14ac:dyDescent="0.3">
      <c r="A365">
        <v>362</v>
      </c>
      <c r="B365" t="s">
        <v>677</v>
      </c>
      <c r="C365" s="6">
        <v>45653</v>
      </c>
      <c r="D365" s="2" t="str">
        <f t="shared" si="10"/>
        <v>December</v>
      </c>
      <c r="E365" t="s">
        <v>678</v>
      </c>
      <c r="F365">
        <v>58</v>
      </c>
      <c r="G365" t="str">
        <f t="shared" si="11"/>
        <v>Senior</v>
      </c>
      <c r="H365" t="s">
        <v>42</v>
      </c>
      <c r="I365" t="s">
        <v>37</v>
      </c>
      <c r="J365" t="s">
        <v>24</v>
      </c>
      <c r="K365" t="s">
        <v>44</v>
      </c>
      <c r="L365" t="s">
        <v>178</v>
      </c>
      <c r="M365">
        <v>9</v>
      </c>
      <c r="N365">
        <v>10569</v>
      </c>
      <c r="O365">
        <v>95121</v>
      </c>
      <c r="P365" t="s">
        <v>61</v>
      </c>
      <c r="Q365">
        <v>2</v>
      </c>
      <c r="R365">
        <v>5</v>
      </c>
      <c r="S365" t="s">
        <v>28</v>
      </c>
    </row>
    <row r="366" spans="1:19" x14ac:dyDescent="0.3">
      <c r="A366">
        <v>363</v>
      </c>
      <c r="B366" t="s">
        <v>679</v>
      </c>
      <c r="C366" s="6">
        <v>45654</v>
      </c>
      <c r="D366" s="2" t="str">
        <f t="shared" si="10"/>
        <v>December</v>
      </c>
      <c r="E366" t="s">
        <v>564</v>
      </c>
      <c r="F366">
        <v>60</v>
      </c>
      <c r="G366" t="str">
        <f t="shared" si="11"/>
        <v>Senior</v>
      </c>
      <c r="H366" t="s">
        <v>22</v>
      </c>
      <c r="I366" t="s">
        <v>70</v>
      </c>
      <c r="J366" t="s">
        <v>32</v>
      </c>
      <c r="K366" t="s">
        <v>51</v>
      </c>
      <c r="L366" t="s">
        <v>60</v>
      </c>
      <c r="M366">
        <v>1</v>
      </c>
      <c r="N366">
        <v>1236</v>
      </c>
      <c r="O366">
        <v>1236</v>
      </c>
      <c r="P366" t="s">
        <v>61</v>
      </c>
      <c r="Q366">
        <v>1</v>
      </c>
      <c r="R366">
        <v>3</v>
      </c>
      <c r="S366" t="s">
        <v>46</v>
      </c>
    </row>
    <row r="367" spans="1:19" x14ac:dyDescent="0.3">
      <c r="A367">
        <v>364</v>
      </c>
      <c r="B367" t="s">
        <v>680</v>
      </c>
      <c r="C367" s="6">
        <v>45655</v>
      </c>
      <c r="D367" s="2" t="str">
        <f t="shared" si="10"/>
        <v>December</v>
      </c>
      <c r="E367" t="s">
        <v>319</v>
      </c>
      <c r="F367">
        <v>54</v>
      </c>
      <c r="G367" t="str">
        <f t="shared" si="11"/>
        <v>Senior</v>
      </c>
      <c r="H367" t="s">
        <v>42</v>
      </c>
      <c r="I367" t="s">
        <v>31</v>
      </c>
      <c r="J367" t="s">
        <v>65</v>
      </c>
      <c r="K367" t="s">
        <v>33</v>
      </c>
      <c r="L367" t="s">
        <v>89</v>
      </c>
      <c r="M367">
        <v>1</v>
      </c>
      <c r="N367">
        <v>35978</v>
      </c>
      <c r="O367">
        <v>35978</v>
      </c>
      <c r="P367" t="s">
        <v>99</v>
      </c>
      <c r="Q367">
        <v>10</v>
      </c>
      <c r="R367">
        <v>4</v>
      </c>
      <c r="S367" t="s">
        <v>28</v>
      </c>
    </row>
    <row r="368" spans="1:19" x14ac:dyDescent="0.3">
      <c r="A368">
        <v>365</v>
      </c>
      <c r="B368" t="s">
        <v>681</v>
      </c>
      <c r="C368" s="6">
        <v>45656</v>
      </c>
      <c r="D368" s="2" t="str">
        <f t="shared" si="10"/>
        <v>December</v>
      </c>
      <c r="E368" t="s">
        <v>682</v>
      </c>
      <c r="F368">
        <v>57</v>
      </c>
      <c r="G368" t="str">
        <f t="shared" si="11"/>
        <v>Senior</v>
      </c>
      <c r="H368" t="s">
        <v>42</v>
      </c>
      <c r="I368" t="s">
        <v>80</v>
      </c>
      <c r="J368" t="s">
        <v>65</v>
      </c>
      <c r="K368" t="s">
        <v>44</v>
      </c>
      <c r="L368" t="s">
        <v>91</v>
      </c>
      <c r="M368">
        <v>4</v>
      </c>
      <c r="N368">
        <v>48202</v>
      </c>
      <c r="O368">
        <v>192808</v>
      </c>
      <c r="P368" t="s">
        <v>61</v>
      </c>
      <c r="Q368">
        <v>4</v>
      </c>
      <c r="R368">
        <v>2</v>
      </c>
      <c r="S368" t="s">
        <v>46</v>
      </c>
    </row>
    <row r="369" spans="1:19" x14ac:dyDescent="0.3">
      <c r="A369">
        <v>366</v>
      </c>
      <c r="B369" t="s">
        <v>683</v>
      </c>
      <c r="C369" s="6">
        <v>45657</v>
      </c>
      <c r="D369" s="2" t="str">
        <f t="shared" si="10"/>
        <v>December</v>
      </c>
      <c r="E369" t="s">
        <v>296</v>
      </c>
      <c r="F369">
        <v>57</v>
      </c>
      <c r="G369" t="str">
        <f t="shared" si="11"/>
        <v>Senior</v>
      </c>
      <c r="H369" t="s">
        <v>22</v>
      </c>
      <c r="I369" t="s">
        <v>23</v>
      </c>
      <c r="J369" t="s">
        <v>50</v>
      </c>
      <c r="K369" t="s">
        <v>25</v>
      </c>
      <c r="L369" t="s">
        <v>26</v>
      </c>
      <c r="M369">
        <v>1</v>
      </c>
      <c r="N369">
        <v>10171</v>
      </c>
      <c r="O369">
        <v>10171</v>
      </c>
      <c r="P369" t="s">
        <v>99</v>
      </c>
      <c r="Q369">
        <v>9</v>
      </c>
      <c r="R369">
        <v>1</v>
      </c>
      <c r="S369" t="s">
        <v>46</v>
      </c>
    </row>
    <row r="370" spans="1:19" x14ac:dyDescent="0.3">
      <c r="A370">
        <v>367</v>
      </c>
      <c r="B370" t="s">
        <v>684</v>
      </c>
      <c r="C370" s="6">
        <v>45658</v>
      </c>
      <c r="D370" s="2" t="str">
        <f t="shared" si="10"/>
        <v>January</v>
      </c>
      <c r="E370" t="s">
        <v>685</v>
      </c>
      <c r="F370">
        <v>58</v>
      </c>
      <c r="G370" t="str">
        <f t="shared" si="11"/>
        <v>Senior</v>
      </c>
      <c r="H370" t="s">
        <v>22</v>
      </c>
      <c r="I370" t="s">
        <v>64</v>
      </c>
      <c r="J370" t="s">
        <v>24</v>
      </c>
      <c r="K370" t="s">
        <v>25</v>
      </c>
      <c r="L370" t="s">
        <v>94</v>
      </c>
      <c r="M370">
        <v>5</v>
      </c>
      <c r="N370">
        <v>11612</v>
      </c>
      <c r="O370">
        <v>58060</v>
      </c>
      <c r="P370" t="s">
        <v>116</v>
      </c>
      <c r="Q370">
        <v>5</v>
      </c>
      <c r="R370">
        <v>2</v>
      </c>
      <c r="S370" t="s">
        <v>28</v>
      </c>
    </row>
    <row r="371" spans="1:19" x14ac:dyDescent="0.3">
      <c r="A371">
        <v>368</v>
      </c>
      <c r="B371" t="s">
        <v>686</v>
      </c>
      <c r="C371" s="6">
        <v>45659</v>
      </c>
      <c r="D371" s="2" t="str">
        <f t="shared" si="10"/>
        <v>January</v>
      </c>
      <c r="E371" t="s">
        <v>687</v>
      </c>
      <c r="F371">
        <v>36</v>
      </c>
      <c r="G371" t="str">
        <f t="shared" si="11"/>
        <v>Adult</v>
      </c>
      <c r="H371" t="s">
        <v>22</v>
      </c>
      <c r="I371" t="s">
        <v>102</v>
      </c>
      <c r="J371" t="s">
        <v>24</v>
      </c>
      <c r="K371" t="s">
        <v>44</v>
      </c>
      <c r="L371" t="s">
        <v>91</v>
      </c>
      <c r="M371">
        <v>4</v>
      </c>
      <c r="N371">
        <v>20176</v>
      </c>
      <c r="O371">
        <v>80704</v>
      </c>
      <c r="P371" t="s">
        <v>61</v>
      </c>
      <c r="Q371">
        <v>1</v>
      </c>
      <c r="R371">
        <v>4</v>
      </c>
      <c r="S371" t="s">
        <v>28</v>
      </c>
    </row>
    <row r="372" spans="1:19" x14ac:dyDescent="0.3">
      <c r="A372">
        <v>369</v>
      </c>
      <c r="B372" t="s">
        <v>688</v>
      </c>
      <c r="C372" s="6">
        <v>45660</v>
      </c>
      <c r="D372" s="2" t="str">
        <f t="shared" si="10"/>
        <v>January</v>
      </c>
      <c r="E372" t="s">
        <v>463</v>
      </c>
      <c r="F372">
        <v>55</v>
      </c>
      <c r="G372" t="str">
        <f t="shared" si="11"/>
        <v>Senior</v>
      </c>
      <c r="H372" t="s">
        <v>22</v>
      </c>
      <c r="I372" t="s">
        <v>49</v>
      </c>
      <c r="J372" t="s">
        <v>65</v>
      </c>
      <c r="K372" t="s">
        <v>33</v>
      </c>
      <c r="L372" t="s">
        <v>173</v>
      </c>
      <c r="M372">
        <v>2</v>
      </c>
      <c r="N372">
        <v>30606</v>
      </c>
      <c r="O372">
        <v>61212</v>
      </c>
      <c r="P372" t="s">
        <v>27</v>
      </c>
      <c r="Q372">
        <v>7</v>
      </c>
      <c r="R372">
        <v>2</v>
      </c>
      <c r="S372" t="s">
        <v>46</v>
      </c>
    </row>
    <row r="373" spans="1:19" x14ac:dyDescent="0.3">
      <c r="A373">
        <v>370</v>
      </c>
      <c r="B373" t="s">
        <v>689</v>
      </c>
      <c r="C373" s="6">
        <v>45661</v>
      </c>
      <c r="D373" s="2" t="str">
        <f t="shared" si="10"/>
        <v>January</v>
      </c>
      <c r="E373" t="s">
        <v>617</v>
      </c>
      <c r="F373">
        <v>58</v>
      </c>
      <c r="G373" t="str">
        <f t="shared" si="11"/>
        <v>Senior</v>
      </c>
      <c r="H373" t="s">
        <v>22</v>
      </c>
      <c r="I373" t="s">
        <v>120</v>
      </c>
      <c r="J373" t="s">
        <v>65</v>
      </c>
      <c r="K373" t="s">
        <v>44</v>
      </c>
      <c r="L373" t="s">
        <v>91</v>
      </c>
      <c r="M373">
        <v>5</v>
      </c>
      <c r="N373">
        <v>6526</v>
      </c>
      <c r="O373">
        <v>32630</v>
      </c>
      <c r="P373" t="s">
        <v>116</v>
      </c>
      <c r="Q373">
        <v>2</v>
      </c>
      <c r="R373">
        <v>3</v>
      </c>
      <c r="S373" t="s">
        <v>28</v>
      </c>
    </row>
    <row r="374" spans="1:19" x14ac:dyDescent="0.3">
      <c r="A374">
        <v>371</v>
      </c>
      <c r="B374" t="s">
        <v>690</v>
      </c>
      <c r="C374" s="6">
        <v>45662</v>
      </c>
      <c r="D374" s="2" t="str">
        <f t="shared" si="10"/>
        <v>January</v>
      </c>
      <c r="E374" t="s">
        <v>691</v>
      </c>
      <c r="F374">
        <v>26</v>
      </c>
      <c r="G374" t="str">
        <f t="shared" si="11"/>
        <v>Teenager</v>
      </c>
      <c r="H374" t="s">
        <v>22</v>
      </c>
      <c r="I374" t="s">
        <v>120</v>
      </c>
      <c r="J374" t="s">
        <v>65</v>
      </c>
      <c r="K374" t="s">
        <v>44</v>
      </c>
      <c r="L374" t="s">
        <v>224</v>
      </c>
      <c r="M374">
        <v>9</v>
      </c>
      <c r="N374">
        <v>41656</v>
      </c>
      <c r="O374">
        <v>374904</v>
      </c>
      <c r="P374" t="s">
        <v>116</v>
      </c>
      <c r="Q374">
        <v>4</v>
      </c>
      <c r="R374">
        <v>2</v>
      </c>
      <c r="S374" t="s">
        <v>28</v>
      </c>
    </row>
    <row r="375" spans="1:19" x14ac:dyDescent="0.3">
      <c r="A375">
        <v>372</v>
      </c>
      <c r="B375" t="s">
        <v>692</v>
      </c>
      <c r="C375" s="6">
        <v>45663</v>
      </c>
      <c r="D375" s="2" t="str">
        <f t="shared" si="10"/>
        <v>January</v>
      </c>
      <c r="E375" t="s">
        <v>564</v>
      </c>
      <c r="F375">
        <v>26</v>
      </c>
      <c r="G375" t="str">
        <f t="shared" si="11"/>
        <v>Teenager</v>
      </c>
      <c r="H375" t="s">
        <v>22</v>
      </c>
      <c r="I375" t="s">
        <v>49</v>
      </c>
      <c r="J375" t="s">
        <v>50</v>
      </c>
      <c r="K375" t="s">
        <v>33</v>
      </c>
      <c r="L375" t="s">
        <v>153</v>
      </c>
      <c r="M375">
        <v>5</v>
      </c>
      <c r="N375">
        <v>12590</v>
      </c>
      <c r="O375">
        <v>62950</v>
      </c>
      <c r="P375" t="s">
        <v>99</v>
      </c>
      <c r="Q375">
        <v>1</v>
      </c>
      <c r="R375">
        <v>2</v>
      </c>
      <c r="S375" t="s">
        <v>28</v>
      </c>
    </row>
    <row r="376" spans="1:19" x14ac:dyDescent="0.3">
      <c r="A376">
        <v>373</v>
      </c>
      <c r="B376" t="s">
        <v>693</v>
      </c>
      <c r="C376" s="6">
        <v>45664</v>
      </c>
      <c r="D376" s="2" t="str">
        <f t="shared" si="10"/>
        <v>January</v>
      </c>
      <c r="E376" t="s">
        <v>79</v>
      </c>
      <c r="F376">
        <v>46</v>
      </c>
      <c r="G376" t="str">
        <f t="shared" si="11"/>
        <v>Adult</v>
      </c>
      <c r="H376" t="s">
        <v>22</v>
      </c>
      <c r="I376" t="s">
        <v>80</v>
      </c>
      <c r="J376" t="s">
        <v>65</v>
      </c>
      <c r="K376" t="s">
        <v>38</v>
      </c>
      <c r="L376" t="s">
        <v>96</v>
      </c>
      <c r="M376">
        <v>5</v>
      </c>
      <c r="N376">
        <v>48148</v>
      </c>
      <c r="O376">
        <v>240740</v>
      </c>
      <c r="P376" t="s">
        <v>99</v>
      </c>
      <c r="Q376">
        <v>6</v>
      </c>
      <c r="R376">
        <v>1</v>
      </c>
      <c r="S376" t="s">
        <v>46</v>
      </c>
    </row>
    <row r="377" spans="1:19" x14ac:dyDescent="0.3">
      <c r="A377">
        <v>374</v>
      </c>
      <c r="B377" t="s">
        <v>694</v>
      </c>
      <c r="C377" s="6">
        <v>45665</v>
      </c>
      <c r="D377" s="2" t="str">
        <f t="shared" si="10"/>
        <v>January</v>
      </c>
      <c r="E377" t="s">
        <v>695</v>
      </c>
      <c r="F377">
        <v>46</v>
      </c>
      <c r="G377" t="str">
        <f t="shared" si="11"/>
        <v>Adult</v>
      </c>
      <c r="H377" t="s">
        <v>22</v>
      </c>
      <c r="I377" t="s">
        <v>120</v>
      </c>
      <c r="J377" t="s">
        <v>65</v>
      </c>
      <c r="K377" t="s">
        <v>44</v>
      </c>
      <c r="L377" t="s">
        <v>178</v>
      </c>
      <c r="M377">
        <v>3</v>
      </c>
      <c r="N377">
        <v>9900</v>
      </c>
      <c r="O377">
        <v>29700</v>
      </c>
      <c r="P377" t="s">
        <v>61</v>
      </c>
      <c r="Q377">
        <v>5</v>
      </c>
      <c r="R377">
        <v>1</v>
      </c>
      <c r="S377" t="s">
        <v>46</v>
      </c>
    </row>
    <row r="378" spans="1:19" x14ac:dyDescent="0.3">
      <c r="A378">
        <v>375</v>
      </c>
      <c r="B378" t="s">
        <v>696</v>
      </c>
      <c r="C378" s="6">
        <v>45666</v>
      </c>
      <c r="D378" s="2" t="str">
        <f t="shared" si="10"/>
        <v>January</v>
      </c>
      <c r="E378" t="s">
        <v>449</v>
      </c>
      <c r="F378">
        <v>45</v>
      </c>
      <c r="G378" t="str">
        <f t="shared" si="11"/>
        <v>Adult</v>
      </c>
      <c r="H378" t="s">
        <v>22</v>
      </c>
      <c r="I378" t="s">
        <v>102</v>
      </c>
      <c r="J378" t="s">
        <v>32</v>
      </c>
      <c r="K378" t="s">
        <v>33</v>
      </c>
      <c r="L378" t="s">
        <v>160</v>
      </c>
      <c r="M378">
        <v>3</v>
      </c>
      <c r="N378">
        <v>18264</v>
      </c>
      <c r="O378">
        <v>54792</v>
      </c>
      <c r="P378" t="s">
        <v>116</v>
      </c>
      <c r="Q378">
        <v>2</v>
      </c>
      <c r="R378">
        <v>1</v>
      </c>
      <c r="S378" t="s">
        <v>28</v>
      </c>
    </row>
    <row r="379" spans="1:19" x14ac:dyDescent="0.3">
      <c r="A379">
        <v>376</v>
      </c>
      <c r="B379" t="s">
        <v>697</v>
      </c>
      <c r="C379" s="6">
        <v>45667</v>
      </c>
      <c r="D379" s="2" t="str">
        <f t="shared" si="10"/>
        <v>January</v>
      </c>
      <c r="E379" t="s">
        <v>260</v>
      </c>
      <c r="F379">
        <v>52</v>
      </c>
      <c r="G379" t="str">
        <f t="shared" si="11"/>
        <v>Senior</v>
      </c>
      <c r="H379" t="s">
        <v>22</v>
      </c>
      <c r="I379" t="s">
        <v>102</v>
      </c>
      <c r="J379" t="s">
        <v>32</v>
      </c>
      <c r="K379" t="s">
        <v>51</v>
      </c>
      <c r="L379" t="s">
        <v>60</v>
      </c>
      <c r="M379">
        <v>8</v>
      </c>
      <c r="N379">
        <v>1923</v>
      </c>
      <c r="O379">
        <v>15384</v>
      </c>
      <c r="P379" t="s">
        <v>99</v>
      </c>
      <c r="Q379">
        <v>9</v>
      </c>
      <c r="R379">
        <v>4</v>
      </c>
      <c r="S379" t="s">
        <v>28</v>
      </c>
    </row>
    <row r="380" spans="1:19" x14ac:dyDescent="0.3">
      <c r="A380">
        <v>377</v>
      </c>
      <c r="B380" t="s">
        <v>698</v>
      </c>
      <c r="C380" s="6">
        <v>45668</v>
      </c>
      <c r="D380" s="2" t="str">
        <f t="shared" si="10"/>
        <v>January</v>
      </c>
      <c r="E380" t="s">
        <v>101</v>
      </c>
      <c r="F380">
        <v>22</v>
      </c>
      <c r="G380" t="str">
        <f t="shared" si="11"/>
        <v>Teenager</v>
      </c>
      <c r="H380" t="s">
        <v>22</v>
      </c>
      <c r="I380" t="s">
        <v>23</v>
      </c>
      <c r="J380" t="s">
        <v>65</v>
      </c>
      <c r="K380" t="s">
        <v>51</v>
      </c>
      <c r="L380" t="s">
        <v>86</v>
      </c>
      <c r="M380">
        <v>5</v>
      </c>
      <c r="N380">
        <v>435</v>
      </c>
      <c r="O380">
        <v>2175</v>
      </c>
      <c r="P380" t="s">
        <v>116</v>
      </c>
      <c r="Q380">
        <v>9</v>
      </c>
      <c r="R380">
        <v>2</v>
      </c>
      <c r="S380" t="s">
        <v>46</v>
      </c>
    </row>
    <row r="381" spans="1:19" x14ac:dyDescent="0.3">
      <c r="A381">
        <v>378</v>
      </c>
      <c r="B381" t="s">
        <v>699</v>
      </c>
      <c r="C381" s="6">
        <v>45669</v>
      </c>
      <c r="D381" s="2" t="str">
        <f t="shared" si="10"/>
        <v>January</v>
      </c>
      <c r="E381" t="s">
        <v>172</v>
      </c>
      <c r="F381">
        <v>32</v>
      </c>
      <c r="G381" t="str">
        <f t="shared" si="11"/>
        <v>Adult</v>
      </c>
      <c r="H381" t="s">
        <v>42</v>
      </c>
      <c r="I381" t="s">
        <v>120</v>
      </c>
      <c r="J381" t="s">
        <v>24</v>
      </c>
      <c r="K381" t="s">
        <v>44</v>
      </c>
      <c r="L381" t="s">
        <v>224</v>
      </c>
      <c r="M381">
        <v>5</v>
      </c>
      <c r="N381">
        <v>4608</v>
      </c>
      <c r="O381">
        <v>23040</v>
      </c>
      <c r="P381" t="s">
        <v>61</v>
      </c>
      <c r="Q381">
        <v>9</v>
      </c>
      <c r="R381">
        <v>4</v>
      </c>
      <c r="S381" t="s">
        <v>28</v>
      </c>
    </row>
    <row r="382" spans="1:19" x14ac:dyDescent="0.3">
      <c r="A382">
        <v>379</v>
      </c>
      <c r="B382" t="s">
        <v>700</v>
      </c>
      <c r="C382" s="6">
        <v>45670</v>
      </c>
      <c r="D382" s="2" t="str">
        <f t="shared" si="10"/>
        <v>January</v>
      </c>
      <c r="E382" t="s">
        <v>41</v>
      </c>
      <c r="F382">
        <v>37</v>
      </c>
      <c r="G382" t="str">
        <f t="shared" si="11"/>
        <v>Adult</v>
      </c>
      <c r="H382" t="s">
        <v>42</v>
      </c>
      <c r="I382" t="s">
        <v>49</v>
      </c>
      <c r="J382" t="s">
        <v>24</v>
      </c>
      <c r="K382" t="s">
        <v>51</v>
      </c>
      <c r="L382" t="s">
        <v>111</v>
      </c>
      <c r="M382">
        <v>4</v>
      </c>
      <c r="N382">
        <v>1052</v>
      </c>
      <c r="O382">
        <v>4208</v>
      </c>
      <c r="P382" t="s">
        <v>27</v>
      </c>
      <c r="Q382">
        <v>7</v>
      </c>
      <c r="R382">
        <v>4</v>
      </c>
      <c r="S382" t="s">
        <v>28</v>
      </c>
    </row>
    <row r="383" spans="1:19" x14ac:dyDescent="0.3">
      <c r="A383">
        <v>380</v>
      </c>
      <c r="B383" t="s">
        <v>701</v>
      </c>
      <c r="C383" s="6">
        <v>45671</v>
      </c>
      <c r="D383" s="2" t="str">
        <f t="shared" si="10"/>
        <v>January</v>
      </c>
      <c r="E383" t="s">
        <v>702</v>
      </c>
      <c r="F383">
        <v>25</v>
      </c>
      <c r="G383" t="str">
        <f t="shared" si="11"/>
        <v>Teenager</v>
      </c>
      <c r="H383" t="s">
        <v>42</v>
      </c>
      <c r="I383" t="s">
        <v>31</v>
      </c>
      <c r="J383" t="s">
        <v>65</v>
      </c>
      <c r="K383" t="s">
        <v>33</v>
      </c>
      <c r="L383" t="s">
        <v>34</v>
      </c>
      <c r="M383">
        <v>10</v>
      </c>
      <c r="N383">
        <v>33283</v>
      </c>
      <c r="O383">
        <v>332830</v>
      </c>
      <c r="P383" t="s">
        <v>53</v>
      </c>
      <c r="Q383">
        <v>6</v>
      </c>
      <c r="R383">
        <v>3</v>
      </c>
      <c r="S383" t="s">
        <v>28</v>
      </c>
    </row>
    <row r="384" spans="1:19" x14ac:dyDescent="0.3">
      <c r="A384">
        <v>381</v>
      </c>
      <c r="B384" t="s">
        <v>703</v>
      </c>
      <c r="C384" s="6">
        <v>45672</v>
      </c>
      <c r="D384" s="2" t="str">
        <f t="shared" si="10"/>
        <v>January</v>
      </c>
      <c r="E384" t="s">
        <v>439</v>
      </c>
      <c r="F384">
        <v>53</v>
      </c>
      <c r="G384" t="str">
        <f t="shared" si="11"/>
        <v>Senior</v>
      </c>
      <c r="H384" t="s">
        <v>22</v>
      </c>
      <c r="I384" t="s">
        <v>49</v>
      </c>
      <c r="J384" t="s">
        <v>50</v>
      </c>
      <c r="K384" t="s">
        <v>33</v>
      </c>
      <c r="L384" t="s">
        <v>160</v>
      </c>
      <c r="M384">
        <v>7</v>
      </c>
      <c r="N384">
        <v>25828</v>
      </c>
      <c r="O384">
        <v>180796</v>
      </c>
      <c r="P384" t="s">
        <v>99</v>
      </c>
      <c r="Q384">
        <v>9</v>
      </c>
      <c r="R384">
        <v>3</v>
      </c>
      <c r="S384" t="s">
        <v>28</v>
      </c>
    </row>
    <row r="385" spans="1:19" x14ac:dyDescent="0.3">
      <c r="A385">
        <v>382</v>
      </c>
      <c r="B385" t="s">
        <v>704</v>
      </c>
      <c r="C385" s="6">
        <v>45673</v>
      </c>
      <c r="D385" s="2" t="str">
        <f t="shared" si="10"/>
        <v>January</v>
      </c>
      <c r="E385" t="s">
        <v>593</v>
      </c>
      <c r="F385">
        <v>21</v>
      </c>
      <c r="G385" t="str">
        <f t="shared" si="11"/>
        <v>Teenager</v>
      </c>
      <c r="H385" t="s">
        <v>22</v>
      </c>
      <c r="I385" t="s">
        <v>23</v>
      </c>
      <c r="J385" t="s">
        <v>65</v>
      </c>
      <c r="K385" t="s">
        <v>33</v>
      </c>
      <c r="L385" t="s">
        <v>160</v>
      </c>
      <c r="M385">
        <v>3</v>
      </c>
      <c r="N385">
        <v>9584</v>
      </c>
      <c r="O385">
        <v>28752</v>
      </c>
      <c r="P385" t="s">
        <v>99</v>
      </c>
      <c r="Q385">
        <v>4</v>
      </c>
      <c r="R385">
        <v>4</v>
      </c>
      <c r="S385" t="s">
        <v>28</v>
      </c>
    </row>
    <row r="386" spans="1:19" x14ac:dyDescent="0.3">
      <c r="A386">
        <v>383</v>
      </c>
      <c r="B386" t="s">
        <v>705</v>
      </c>
      <c r="C386" s="6">
        <v>45674</v>
      </c>
      <c r="D386" s="2" t="str">
        <f t="shared" si="10"/>
        <v>January</v>
      </c>
      <c r="E386" t="s">
        <v>706</v>
      </c>
      <c r="F386">
        <v>37</v>
      </c>
      <c r="G386" t="str">
        <f t="shared" si="11"/>
        <v>Adult</v>
      </c>
      <c r="H386" t="s">
        <v>42</v>
      </c>
      <c r="I386" t="s">
        <v>37</v>
      </c>
      <c r="J386" t="s">
        <v>65</v>
      </c>
      <c r="K386" t="s">
        <v>38</v>
      </c>
      <c r="L386" t="s">
        <v>96</v>
      </c>
      <c r="M386">
        <v>2</v>
      </c>
      <c r="N386">
        <v>29283</v>
      </c>
      <c r="O386">
        <v>58566</v>
      </c>
      <c r="P386" t="s">
        <v>61</v>
      </c>
      <c r="Q386">
        <v>1</v>
      </c>
      <c r="R386">
        <v>4</v>
      </c>
      <c r="S386" t="s">
        <v>46</v>
      </c>
    </row>
    <row r="387" spans="1:19" x14ac:dyDescent="0.3">
      <c r="A387">
        <v>384</v>
      </c>
      <c r="B387" t="s">
        <v>707</v>
      </c>
      <c r="C387" s="6">
        <v>45675</v>
      </c>
      <c r="D387" s="2" t="str">
        <f t="shared" si="10"/>
        <v>January</v>
      </c>
      <c r="E387" t="s">
        <v>132</v>
      </c>
      <c r="F387">
        <v>37</v>
      </c>
      <c r="G387" t="str">
        <f t="shared" si="11"/>
        <v>Adult</v>
      </c>
      <c r="H387" t="s">
        <v>42</v>
      </c>
      <c r="I387" t="s">
        <v>70</v>
      </c>
      <c r="J387" t="s">
        <v>50</v>
      </c>
      <c r="K387" t="s">
        <v>51</v>
      </c>
      <c r="L387" t="s">
        <v>52</v>
      </c>
      <c r="M387">
        <v>1</v>
      </c>
      <c r="N387">
        <v>611</v>
      </c>
      <c r="O387">
        <v>611</v>
      </c>
      <c r="P387" t="s">
        <v>99</v>
      </c>
      <c r="Q387">
        <v>8</v>
      </c>
      <c r="R387">
        <v>4</v>
      </c>
      <c r="S387" t="s">
        <v>28</v>
      </c>
    </row>
    <row r="388" spans="1:19" x14ac:dyDescent="0.3">
      <c r="A388">
        <v>385</v>
      </c>
      <c r="B388" t="s">
        <v>708</v>
      </c>
      <c r="C388" s="6">
        <v>45676</v>
      </c>
      <c r="D388" s="2" t="str">
        <f t="shared" ref="D388:D451" si="12">TEXT(C388,"mmmm")</f>
        <v>January</v>
      </c>
      <c r="E388" t="s">
        <v>615</v>
      </c>
      <c r="F388">
        <v>22</v>
      </c>
      <c r="G388" t="str">
        <f t="shared" ref="G388:G451" si="13">IF(F388&gt;=50,"Senior",IF(F388&gt;=30,"Adult","Teenager"))</f>
        <v>Teenager</v>
      </c>
      <c r="H388" t="s">
        <v>22</v>
      </c>
      <c r="I388" t="s">
        <v>64</v>
      </c>
      <c r="J388" t="s">
        <v>50</v>
      </c>
      <c r="K388" t="s">
        <v>38</v>
      </c>
      <c r="L388" t="s">
        <v>96</v>
      </c>
      <c r="M388">
        <v>5</v>
      </c>
      <c r="N388">
        <v>39067</v>
      </c>
      <c r="O388">
        <v>195335</v>
      </c>
      <c r="P388" t="s">
        <v>99</v>
      </c>
      <c r="Q388">
        <v>1</v>
      </c>
      <c r="R388">
        <v>4</v>
      </c>
      <c r="S388" t="s">
        <v>28</v>
      </c>
    </row>
    <row r="389" spans="1:19" x14ac:dyDescent="0.3">
      <c r="A389">
        <v>386</v>
      </c>
      <c r="B389" t="s">
        <v>709</v>
      </c>
      <c r="C389" s="6">
        <v>45677</v>
      </c>
      <c r="D389" s="2" t="str">
        <f t="shared" si="12"/>
        <v>January</v>
      </c>
      <c r="E389" t="s">
        <v>710</v>
      </c>
      <c r="F389">
        <v>46</v>
      </c>
      <c r="G389" t="str">
        <f t="shared" si="13"/>
        <v>Adult</v>
      </c>
      <c r="H389" t="s">
        <v>22</v>
      </c>
      <c r="I389" t="s">
        <v>64</v>
      </c>
      <c r="J389" t="s">
        <v>32</v>
      </c>
      <c r="K389" t="s">
        <v>44</v>
      </c>
      <c r="L389" t="s">
        <v>45</v>
      </c>
      <c r="M389">
        <v>3</v>
      </c>
      <c r="N389">
        <v>41111</v>
      </c>
      <c r="O389">
        <v>123333</v>
      </c>
      <c r="P389" t="s">
        <v>53</v>
      </c>
      <c r="Q389">
        <v>10</v>
      </c>
      <c r="R389">
        <v>4</v>
      </c>
      <c r="S389" t="s">
        <v>28</v>
      </c>
    </row>
    <row r="390" spans="1:19" x14ac:dyDescent="0.3">
      <c r="A390">
        <v>387</v>
      </c>
      <c r="B390" t="s">
        <v>711</v>
      </c>
      <c r="C390" s="6">
        <v>45678</v>
      </c>
      <c r="D390" s="2" t="str">
        <f t="shared" si="12"/>
        <v>January</v>
      </c>
      <c r="E390" t="s">
        <v>712</v>
      </c>
      <c r="F390">
        <v>50</v>
      </c>
      <c r="G390" t="str">
        <f t="shared" si="13"/>
        <v>Senior</v>
      </c>
      <c r="H390" t="s">
        <v>22</v>
      </c>
      <c r="I390" t="s">
        <v>80</v>
      </c>
      <c r="J390" t="s">
        <v>24</v>
      </c>
      <c r="K390" t="s">
        <v>33</v>
      </c>
      <c r="L390" t="s">
        <v>160</v>
      </c>
      <c r="M390">
        <v>4</v>
      </c>
      <c r="N390">
        <v>24494</v>
      </c>
      <c r="O390">
        <v>97976</v>
      </c>
      <c r="P390" t="s">
        <v>53</v>
      </c>
      <c r="Q390">
        <v>7</v>
      </c>
      <c r="R390">
        <v>1</v>
      </c>
      <c r="S390" t="s">
        <v>46</v>
      </c>
    </row>
    <row r="391" spans="1:19" x14ac:dyDescent="0.3">
      <c r="A391">
        <v>388</v>
      </c>
      <c r="B391" t="s">
        <v>713</v>
      </c>
      <c r="C391" s="6">
        <v>45679</v>
      </c>
      <c r="D391" s="2" t="str">
        <f t="shared" si="12"/>
        <v>January</v>
      </c>
      <c r="E391" t="s">
        <v>549</v>
      </c>
      <c r="F391">
        <v>38</v>
      </c>
      <c r="G391" t="str">
        <f t="shared" si="13"/>
        <v>Adult</v>
      </c>
      <c r="H391" t="s">
        <v>42</v>
      </c>
      <c r="I391" t="s">
        <v>49</v>
      </c>
      <c r="J391" t="s">
        <v>32</v>
      </c>
      <c r="K391" t="s">
        <v>25</v>
      </c>
      <c r="L391" t="s">
        <v>124</v>
      </c>
      <c r="M391">
        <v>7</v>
      </c>
      <c r="N391">
        <v>29403</v>
      </c>
      <c r="O391">
        <v>205821</v>
      </c>
      <c r="P391" t="s">
        <v>61</v>
      </c>
      <c r="Q391">
        <v>10</v>
      </c>
      <c r="R391">
        <v>5</v>
      </c>
      <c r="S391" t="s">
        <v>46</v>
      </c>
    </row>
    <row r="392" spans="1:19" x14ac:dyDescent="0.3">
      <c r="A392">
        <v>389</v>
      </c>
      <c r="B392" t="s">
        <v>714</v>
      </c>
      <c r="C392" s="6">
        <v>45680</v>
      </c>
      <c r="D392" s="2" t="str">
        <f t="shared" si="12"/>
        <v>January</v>
      </c>
      <c r="E392" t="s">
        <v>715</v>
      </c>
      <c r="F392">
        <v>28</v>
      </c>
      <c r="G392" t="str">
        <f t="shared" si="13"/>
        <v>Teenager</v>
      </c>
      <c r="H392" t="s">
        <v>42</v>
      </c>
      <c r="I392" t="s">
        <v>31</v>
      </c>
      <c r="J392" t="s">
        <v>65</v>
      </c>
      <c r="K392" t="s">
        <v>38</v>
      </c>
      <c r="L392" t="s">
        <v>71</v>
      </c>
      <c r="M392">
        <v>7</v>
      </c>
      <c r="N392">
        <v>37427</v>
      </c>
      <c r="O392">
        <v>261989</v>
      </c>
      <c r="P392" t="s">
        <v>61</v>
      </c>
      <c r="Q392">
        <v>7</v>
      </c>
      <c r="R392">
        <v>3</v>
      </c>
      <c r="S392" t="s">
        <v>46</v>
      </c>
    </row>
    <row r="393" spans="1:19" x14ac:dyDescent="0.3">
      <c r="A393">
        <v>390</v>
      </c>
      <c r="B393" t="s">
        <v>716</v>
      </c>
      <c r="C393" s="6">
        <v>45681</v>
      </c>
      <c r="D393" s="2" t="str">
        <f t="shared" si="12"/>
        <v>January</v>
      </c>
      <c r="E393" t="s">
        <v>717</v>
      </c>
      <c r="F393">
        <v>25</v>
      </c>
      <c r="G393" t="str">
        <f t="shared" si="13"/>
        <v>Teenager</v>
      </c>
      <c r="H393" t="s">
        <v>22</v>
      </c>
      <c r="I393" t="s">
        <v>70</v>
      </c>
      <c r="J393" t="s">
        <v>24</v>
      </c>
      <c r="K393" t="s">
        <v>25</v>
      </c>
      <c r="L393" t="s">
        <v>77</v>
      </c>
      <c r="M393">
        <v>8</v>
      </c>
      <c r="N393">
        <v>7686</v>
      </c>
      <c r="O393">
        <v>61488</v>
      </c>
      <c r="P393" t="s">
        <v>99</v>
      </c>
      <c r="Q393">
        <v>8</v>
      </c>
      <c r="R393">
        <v>1</v>
      </c>
      <c r="S393" t="s">
        <v>28</v>
      </c>
    </row>
    <row r="394" spans="1:19" x14ac:dyDescent="0.3">
      <c r="A394">
        <v>391</v>
      </c>
      <c r="B394" t="s">
        <v>718</v>
      </c>
      <c r="C394" s="6">
        <v>45682</v>
      </c>
      <c r="D394" s="2" t="str">
        <f t="shared" si="12"/>
        <v>January</v>
      </c>
      <c r="E394" t="s">
        <v>278</v>
      </c>
      <c r="F394">
        <v>52</v>
      </c>
      <c r="G394" t="str">
        <f t="shared" si="13"/>
        <v>Senior</v>
      </c>
      <c r="H394" t="s">
        <v>42</v>
      </c>
      <c r="I394" t="s">
        <v>64</v>
      </c>
      <c r="J394" t="s">
        <v>50</v>
      </c>
      <c r="K394" t="s">
        <v>44</v>
      </c>
      <c r="L394" t="s">
        <v>91</v>
      </c>
      <c r="M394">
        <v>10</v>
      </c>
      <c r="N394">
        <v>37946</v>
      </c>
      <c r="O394">
        <v>379460</v>
      </c>
      <c r="P394" t="s">
        <v>27</v>
      </c>
      <c r="Q394">
        <v>7</v>
      </c>
      <c r="R394">
        <v>4</v>
      </c>
      <c r="S394" t="s">
        <v>46</v>
      </c>
    </row>
    <row r="395" spans="1:19" x14ac:dyDescent="0.3">
      <c r="A395">
        <v>392</v>
      </c>
      <c r="B395" t="s">
        <v>719</v>
      </c>
      <c r="C395" s="6">
        <v>45683</v>
      </c>
      <c r="D395" s="2" t="str">
        <f t="shared" si="12"/>
        <v>January</v>
      </c>
      <c r="E395" t="s">
        <v>720</v>
      </c>
      <c r="F395">
        <v>24</v>
      </c>
      <c r="G395" t="str">
        <f t="shared" si="13"/>
        <v>Teenager</v>
      </c>
      <c r="H395" t="s">
        <v>42</v>
      </c>
      <c r="I395" t="s">
        <v>70</v>
      </c>
      <c r="J395" t="s">
        <v>65</v>
      </c>
      <c r="K395" t="s">
        <v>33</v>
      </c>
      <c r="L395" t="s">
        <v>160</v>
      </c>
      <c r="M395">
        <v>5</v>
      </c>
      <c r="N395">
        <v>47962</v>
      </c>
      <c r="O395">
        <v>239810</v>
      </c>
      <c r="P395" t="s">
        <v>27</v>
      </c>
      <c r="Q395">
        <v>10</v>
      </c>
      <c r="R395">
        <v>1</v>
      </c>
      <c r="S395" t="s">
        <v>46</v>
      </c>
    </row>
    <row r="396" spans="1:19" x14ac:dyDescent="0.3">
      <c r="A396">
        <v>393</v>
      </c>
      <c r="B396" t="s">
        <v>721</v>
      </c>
      <c r="C396" s="6">
        <v>45684</v>
      </c>
      <c r="D396" s="2" t="str">
        <f t="shared" si="12"/>
        <v>January</v>
      </c>
      <c r="E396" t="s">
        <v>722</v>
      </c>
      <c r="F396">
        <v>42</v>
      </c>
      <c r="G396" t="str">
        <f t="shared" si="13"/>
        <v>Adult</v>
      </c>
      <c r="H396" t="s">
        <v>22</v>
      </c>
      <c r="I396" t="s">
        <v>70</v>
      </c>
      <c r="J396" t="s">
        <v>24</v>
      </c>
      <c r="K396" t="s">
        <v>38</v>
      </c>
      <c r="L396" t="s">
        <v>135</v>
      </c>
      <c r="M396">
        <v>5</v>
      </c>
      <c r="N396">
        <v>30079</v>
      </c>
      <c r="O396">
        <v>150395</v>
      </c>
      <c r="P396" t="s">
        <v>61</v>
      </c>
      <c r="Q396">
        <v>10</v>
      </c>
      <c r="R396">
        <v>5</v>
      </c>
      <c r="S396" t="s">
        <v>28</v>
      </c>
    </row>
    <row r="397" spans="1:19" x14ac:dyDescent="0.3">
      <c r="A397">
        <v>394</v>
      </c>
      <c r="B397" t="s">
        <v>723</v>
      </c>
      <c r="C397" s="6">
        <v>45685</v>
      </c>
      <c r="D397" s="2" t="str">
        <f t="shared" si="12"/>
        <v>January</v>
      </c>
      <c r="E397" t="s">
        <v>724</v>
      </c>
      <c r="F397">
        <v>36</v>
      </c>
      <c r="G397" t="str">
        <f t="shared" si="13"/>
        <v>Adult</v>
      </c>
      <c r="H397" t="s">
        <v>22</v>
      </c>
      <c r="I397" t="s">
        <v>64</v>
      </c>
      <c r="J397" t="s">
        <v>32</v>
      </c>
      <c r="K397" t="s">
        <v>38</v>
      </c>
      <c r="L397" t="s">
        <v>96</v>
      </c>
      <c r="M397">
        <v>9</v>
      </c>
      <c r="N397">
        <v>36864</v>
      </c>
      <c r="O397">
        <v>331776</v>
      </c>
      <c r="P397" t="s">
        <v>99</v>
      </c>
      <c r="Q397">
        <v>7</v>
      </c>
      <c r="R397">
        <v>3</v>
      </c>
      <c r="S397" t="s">
        <v>46</v>
      </c>
    </row>
    <row r="398" spans="1:19" x14ac:dyDescent="0.3">
      <c r="A398">
        <v>395</v>
      </c>
      <c r="B398" t="s">
        <v>725</v>
      </c>
      <c r="C398" s="6">
        <v>45686</v>
      </c>
      <c r="D398" s="2" t="str">
        <f t="shared" si="12"/>
        <v>January</v>
      </c>
      <c r="E398" t="s">
        <v>451</v>
      </c>
      <c r="F398">
        <v>24</v>
      </c>
      <c r="G398" t="str">
        <f t="shared" si="13"/>
        <v>Teenager</v>
      </c>
      <c r="H398" t="s">
        <v>22</v>
      </c>
      <c r="I398" t="s">
        <v>49</v>
      </c>
      <c r="J398" t="s">
        <v>24</v>
      </c>
      <c r="K398" t="s">
        <v>38</v>
      </c>
      <c r="L398" t="s">
        <v>81</v>
      </c>
      <c r="M398">
        <v>8</v>
      </c>
      <c r="N398">
        <v>39158</v>
      </c>
      <c r="O398">
        <v>313264</v>
      </c>
      <c r="P398" t="s">
        <v>116</v>
      </c>
      <c r="Q398">
        <v>2</v>
      </c>
      <c r="R398">
        <v>3</v>
      </c>
      <c r="S398" t="s">
        <v>46</v>
      </c>
    </row>
    <row r="399" spans="1:19" x14ac:dyDescent="0.3">
      <c r="A399">
        <v>396</v>
      </c>
      <c r="B399" t="s">
        <v>726</v>
      </c>
      <c r="C399" s="6">
        <v>45687</v>
      </c>
      <c r="D399" s="2" t="str">
        <f t="shared" si="12"/>
        <v>January</v>
      </c>
      <c r="E399" t="s">
        <v>617</v>
      </c>
      <c r="F399">
        <v>34</v>
      </c>
      <c r="G399" t="str">
        <f t="shared" si="13"/>
        <v>Adult</v>
      </c>
      <c r="H399" t="s">
        <v>42</v>
      </c>
      <c r="I399" t="s">
        <v>49</v>
      </c>
      <c r="J399" t="s">
        <v>65</v>
      </c>
      <c r="K399" t="s">
        <v>44</v>
      </c>
      <c r="L399" t="s">
        <v>178</v>
      </c>
      <c r="M399">
        <v>8</v>
      </c>
      <c r="N399">
        <v>32496</v>
      </c>
      <c r="O399">
        <v>259968</v>
      </c>
      <c r="P399" t="s">
        <v>61</v>
      </c>
      <c r="Q399">
        <v>4</v>
      </c>
      <c r="R399">
        <v>2</v>
      </c>
      <c r="S399" t="s">
        <v>46</v>
      </c>
    </row>
    <row r="400" spans="1:19" x14ac:dyDescent="0.3">
      <c r="A400">
        <v>397</v>
      </c>
      <c r="B400" t="s">
        <v>727</v>
      </c>
      <c r="C400" s="6">
        <v>45688</v>
      </c>
      <c r="D400" s="2" t="str">
        <f t="shared" si="12"/>
        <v>January</v>
      </c>
      <c r="E400" t="s">
        <v>728</v>
      </c>
      <c r="F400">
        <v>26</v>
      </c>
      <c r="G400" t="str">
        <f t="shared" si="13"/>
        <v>Teenager</v>
      </c>
      <c r="H400" t="s">
        <v>42</v>
      </c>
      <c r="I400" t="s">
        <v>49</v>
      </c>
      <c r="J400" t="s">
        <v>50</v>
      </c>
      <c r="K400" t="s">
        <v>44</v>
      </c>
      <c r="L400" t="s">
        <v>178</v>
      </c>
      <c r="M400">
        <v>9</v>
      </c>
      <c r="N400">
        <v>10042</v>
      </c>
      <c r="O400">
        <v>90378</v>
      </c>
      <c r="P400" t="s">
        <v>99</v>
      </c>
      <c r="Q400">
        <v>10</v>
      </c>
      <c r="R400">
        <v>4</v>
      </c>
      <c r="S400" t="s">
        <v>28</v>
      </c>
    </row>
    <row r="401" spans="1:19" x14ac:dyDescent="0.3">
      <c r="A401">
        <v>398</v>
      </c>
      <c r="B401" t="s">
        <v>729</v>
      </c>
      <c r="C401" s="6">
        <v>45689</v>
      </c>
      <c r="D401" s="2" t="str">
        <f t="shared" si="12"/>
        <v>February</v>
      </c>
      <c r="E401" t="s">
        <v>610</v>
      </c>
      <c r="F401">
        <v>59</v>
      </c>
      <c r="G401" t="str">
        <f t="shared" si="13"/>
        <v>Senior</v>
      </c>
      <c r="H401" t="s">
        <v>42</v>
      </c>
      <c r="I401" t="s">
        <v>23</v>
      </c>
      <c r="J401" t="s">
        <v>32</v>
      </c>
      <c r="K401" t="s">
        <v>44</v>
      </c>
      <c r="L401" t="s">
        <v>91</v>
      </c>
      <c r="M401">
        <v>8</v>
      </c>
      <c r="N401">
        <v>43295</v>
      </c>
      <c r="O401">
        <v>346360</v>
      </c>
      <c r="P401" t="s">
        <v>99</v>
      </c>
      <c r="Q401">
        <v>2</v>
      </c>
      <c r="R401">
        <v>1</v>
      </c>
      <c r="S401" t="s">
        <v>28</v>
      </c>
    </row>
    <row r="402" spans="1:19" x14ac:dyDescent="0.3">
      <c r="A402">
        <v>399</v>
      </c>
      <c r="B402" t="s">
        <v>730</v>
      </c>
      <c r="C402" s="6">
        <v>45690</v>
      </c>
      <c r="D402" s="2" t="str">
        <f t="shared" si="12"/>
        <v>February</v>
      </c>
      <c r="E402" t="s">
        <v>731</v>
      </c>
      <c r="F402">
        <v>20</v>
      </c>
      <c r="G402" t="str">
        <f t="shared" si="13"/>
        <v>Teenager</v>
      </c>
      <c r="H402" t="s">
        <v>42</v>
      </c>
      <c r="I402" t="s">
        <v>102</v>
      </c>
      <c r="J402" t="s">
        <v>65</v>
      </c>
      <c r="K402" t="s">
        <v>25</v>
      </c>
      <c r="L402" t="s">
        <v>124</v>
      </c>
      <c r="M402">
        <v>7</v>
      </c>
      <c r="N402">
        <v>6651</v>
      </c>
      <c r="O402">
        <v>46557</v>
      </c>
      <c r="P402" t="s">
        <v>99</v>
      </c>
      <c r="Q402">
        <v>8</v>
      </c>
      <c r="R402">
        <v>2</v>
      </c>
      <c r="S402" t="s">
        <v>28</v>
      </c>
    </row>
    <row r="403" spans="1:19" x14ac:dyDescent="0.3">
      <c r="A403">
        <v>400</v>
      </c>
      <c r="B403" t="s">
        <v>732</v>
      </c>
      <c r="C403" s="6">
        <v>45691</v>
      </c>
      <c r="D403" s="2" t="str">
        <f t="shared" si="12"/>
        <v>February</v>
      </c>
      <c r="E403" t="s">
        <v>313</v>
      </c>
      <c r="F403">
        <v>25</v>
      </c>
      <c r="G403" t="str">
        <f t="shared" si="13"/>
        <v>Teenager</v>
      </c>
      <c r="H403" t="s">
        <v>22</v>
      </c>
      <c r="I403" t="s">
        <v>80</v>
      </c>
      <c r="J403" t="s">
        <v>32</v>
      </c>
      <c r="K403" t="s">
        <v>25</v>
      </c>
      <c r="L403" t="s">
        <v>124</v>
      </c>
      <c r="M403">
        <v>1</v>
      </c>
      <c r="N403">
        <v>19219</v>
      </c>
      <c r="O403">
        <v>19219</v>
      </c>
      <c r="P403" t="s">
        <v>27</v>
      </c>
      <c r="Q403">
        <v>10</v>
      </c>
      <c r="R403">
        <v>4</v>
      </c>
      <c r="S403" t="s">
        <v>46</v>
      </c>
    </row>
    <row r="404" spans="1:19" x14ac:dyDescent="0.3">
      <c r="A404">
        <v>401</v>
      </c>
      <c r="B404" t="s">
        <v>733</v>
      </c>
      <c r="C404" s="6">
        <v>45692</v>
      </c>
      <c r="D404" s="2" t="str">
        <f t="shared" si="12"/>
        <v>February</v>
      </c>
      <c r="E404" t="s">
        <v>164</v>
      </c>
      <c r="F404">
        <v>52</v>
      </c>
      <c r="G404" t="str">
        <f t="shared" si="13"/>
        <v>Senior</v>
      </c>
      <c r="H404" t="s">
        <v>22</v>
      </c>
      <c r="I404" t="s">
        <v>23</v>
      </c>
      <c r="J404" t="s">
        <v>50</v>
      </c>
      <c r="K404" t="s">
        <v>51</v>
      </c>
      <c r="L404" t="s">
        <v>111</v>
      </c>
      <c r="M404">
        <v>3</v>
      </c>
      <c r="N404">
        <v>1687</v>
      </c>
      <c r="O404">
        <v>5061</v>
      </c>
      <c r="P404" t="s">
        <v>61</v>
      </c>
      <c r="Q404">
        <v>8</v>
      </c>
      <c r="R404">
        <v>3</v>
      </c>
      <c r="S404" t="s">
        <v>46</v>
      </c>
    </row>
    <row r="405" spans="1:19" x14ac:dyDescent="0.3">
      <c r="A405">
        <v>402</v>
      </c>
      <c r="B405" t="s">
        <v>734</v>
      </c>
      <c r="C405" s="6">
        <v>45693</v>
      </c>
      <c r="D405" s="2" t="str">
        <f t="shared" si="12"/>
        <v>February</v>
      </c>
      <c r="E405" t="s">
        <v>85</v>
      </c>
      <c r="F405">
        <v>38</v>
      </c>
      <c r="G405" t="str">
        <f t="shared" si="13"/>
        <v>Adult</v>
      </c>
      <c r="H405" t="s">
        <v>22</v>
      </c>
      <c r="I405" t="s">
        <v>43</v>
      </c>
      <c r="J405" t="s">
        <v>24</v>
      </c>
      <c r="K405" t="s">
        <v>38</v>
      </c>
      <c r="L405" t="s">
        <v>96</v>
      </c>
      <c r="M405">
        <v>4</v>
      </c>
      <c r="N405">
        <v>49491</v>
      </c>
      <c r="O405">
        <v>197964</v>
      </c>
      <c r="P405" t="s">
        <v>61</v>
      </c>
      <c r="Q405">
        <v>10</v>
      </c>
      <c r="R405">
        <v>2</v>
      </c>
      <c r="S405" t="s">
        <v>28</v>
      </c>
    </row>
    <row r="406" spans="1:19" x14ac:dyDescent="0.3">
      <c r="A406">
        <v>403</v>
      </c>
      <c r="B406" t="s">
        <v>735</v>
      </c>
      <c r="C406" s="6">
        <v>45694</v>
      </c>
      <c r="D406" s="2" t="str">
        <f t="shared" si="12"/>
        <v>February</v>
      </c>
      <c r="E406" t="s">
        <v>260</v>
      </c>
      <c r="F406">
        <v>40</v>
      </c>
      <c r="G406" t="str">
        <f t="shared" si="13"/>
        <v>Adult</v>
      </c>
      <c r="H406" t="s">
        <v>22</v>
      </c>
      <c r="I406" t="s">
        <v>80</v>
      </c>
      <c r="J406" t="s">
        <v>32</v>
      </c>
      <c r="K406" t="s">
        <v>51</v>
      </c>
      <c r="L406" t="s">
        <v>74</v>
      </c>
      <c r="M406">
        <v>9</v>
      </c>
      <c r="N406">
        <v>1510</v>
      </c>
      <c r="O406">
        <v>13590</v>
      </c>
      <c r="P406" t="s">
        <v>116</v>
      </c>
      <c r="Q406">
        <v>3</v>
      </c>
      <c r="R406">
        <v>2</v>
      </c>
      <c r="S406" t="s">
        <v>28</v>
      </c>
    </row>
    <row r="407" spans="1:19" x14ac:dyDescent="0.3">
      <c r="A407">
        <v>404</v>
      </c>
      <c r="B407" t="s">
        <v>736</v>
      </c>
      <c r="C407" s="6">
        <v>45695</v>
      </c>
      <c r="D407" s="2" t="str">
        <f t="shared" si="12"/>
        <v>February</v>
      </c>
      <c r="E407" t="s">
        <v>737</v>
      </c>
      <c r="F407">
        <v>60</v>
      </c>
      <c r="G407" t="str">
        <f t="shared" si="13"/>
        <v>Senior</v>
      </c>
      <c r="H407" t="s">
        <v>22</v>
      </c>
      <c r="I407" t="s">
        <v>31</v>
      </c>
      <c r="J407" t="s">
        <v>50</v>
      </c>
      <c r="K407" t="s">
        <v>25</v>
      </c>
      <c r="L407" t="s">
        <v>77</v>
      </c>
      <c r="M407">
        <v>8</v>
      </c>
      <c r="N407">
        <v>49799</v>
      </c>
      <c r="O407">
        <v>398392</v>
      </c>
      <c r="P407" t="s">
        <v>27</v>
      </c>
      <c r="Q407">
        <v>5</v>
      </c>
      <c r="R407">
        <v>4</v>
      </c>
      <c r="S407" t="s">
        <v>46</v>
      </c>
    </row>
    <row r="408" spans="1:19" x14ac:dyDescent="0.3">
      <c r="A408">
        <v>405</v>
      </c>
      <c r="B408" t="s">
        <v>738</v>
      </c>
      <c r="C408" s="6">
        <v>45696</v>
      </c>
      <c r="D408" s="2" t="str">
        <f t="shared" si="12"/>
        <v>February</v>
      </c>
      <c r="E408" t="s">
        <v>463</v>
      </c>
      <c r="F408">
        <v>23</v>
      </c>
      <c r="G408" t="str">
        <f t="shared" si="13"/>
        <v>Teenager</v>
      </c>
      <c r="H408" t="s">
        <v>22</v>
      </c>
      <c r="I408" t="s">
        <v>49</v>
      </c>
      <c r="J408" t="s">
        <v>50</v>
      </c>
      <c r="K408" t="s">
        <v>25</v>
      </c>
      <c r="L408" t="s">
        <v>77</v>
      </c>
      <c r="M408">
        <v>4</v>
      </c>
      <c r="N408">
        <v>17546</v>
      </c>
      <c r="O408">
        <v>70184</v>
      </c>
      <c r="P408" t="s">
        <v>27</v>
      </c>
      <c r="Q408">
        <v>6</v>
      </c>
      <c r="R408">
        <v>3</v>
      </c>
      <c r="S408" t="s">
        <v>28</v>
      </c>
    </row>
    <row r="409" spans="1:19" x14ac:dyDescent="0.3">
      <c r="A409">
        <v>406</v>
      </c>
      <c r="B409" t="s">
        <v>739</v>
      </c>
      <c r="C409" s="6">
        <v>45697</v>
      </c>
      <c r="D409" s="2" t="str">
        <f t="shared" si="12"/>
        <v>February</v>
      </c>
      <c r="E409" t="s">
        <v>159</v>
      </c>
      <c r="F409">
        <v>50</v>
      </c>
      <c r="G409" t="str">
        <f t="shared" si="13"/>
        <v>Senior</v>
      </c>
      <c r="H409" t="s">
        <v>42</v>
      </c>
      <c r="I409" t="s">
        <v>64</v>
      </c>
      <c r="J409" t="s">
        <v>50</v>
      </c>
      <c r="K409" t="s">
        <v>38</v>
      </c>
      <c r="L409" t="s">
        <v>135</v>
      </c>
      <c r="M409">
        <v>2</v>
      </c>
      <c r="N409">
        <v>33266</v>
      </c>
      <c r="O409">
        <v>66532</v>
      </c>
      <c r="P409" t="s">
        <v>116</v>
      </c>
      <c r="Q409">
        <v>1</v>
      </c>
      <c r="R409">
        <v>2</v>
      </c>
      <c r="S409" t="s">
        <v>28</v>
      </c>
    </row>
    <row r="410" spans="1:19" x14ac:dyDescent="0.3">
      <c r="A410">
        <v>407</v>
      </c>
      <c r="B410" t="s">
        <v>740</v>
      </c>
      <c r="C410" s="6">
        <v>45698</v>
      </c>
      <c r="D410" s="2" t="str">
        <f t="shared" si="12"/>
        <v>February</v>
      </c>
      <c r="E410" t="s">
        <v>206</v>
      </c>
      <c r="F410">
        <v>54</v>
      </c>
      <c r="G410" t="str">
        <f t="shared" si="13"/>
        <v>Senior</v>
      </c>
      <c r="H410" t="s">
        <v>22</v>
      </c>
      <c r="I410" t="s">
        <v>31</v>
      </c>
      <c r="J410" t="s">
        <v>24</v>
      </c>
      <c r="K410" t="s">
        <v>25</v>
      </c>
      <c r="L410" t="s">
        <v>77</v>
      </c>
      <c r="M410">
        <v>1</v>
      </c>
      <c r="N410">
        <v>18374</v>
      </c>
      <c r="O410">
        <v>18374</v>
      </c>
      <c r="P410" t="s">
        <v>116</v>
      </c>
      <c r="Q410">
        <v>3</v>
      </c>
      <c r="R410">
        <v>2</v>
      </c>
      <c r="S410" t="s">
        <v>46</v>
      </c>
    </row>
    <row r="411" spans="1:19" x14ac:dyDescent="0.3">
      <c r="A411">
        <v>408</v>
      </c>
      <c r="B411" t="s">
        <v>741</v>
      </c>
      <c r="C411" s="6">
        <v>45699</v>
      </c>
      <c r="D411" s="2" t="str">
        <f t="shared" si="12"/>
        <v>February</v>
      </c>
      <c r="E411" t="s">
        <v>217</v>
      </c>
      <c r="F411">
        <v>27</v>
      </c>
      <c r="G411" t="str">
        <f t="shared" si="13"/>
        <v>Teenager</v>
      </c>
      <c r="H411" t="s">
        <v>22</v>
      </c>
      <c r="I411" t="s">
        <v>70</v>
      </c>
      <c r="J411" t="s">
        <v>50</v>
      </c>
      <c r="K411" t="s">
        <v>51</v>
      </c>
      <c r="L411" t="s">
        <v>74</v>
      </c>
      <c r="M411">
        <v>7</v>
      </c>
      <c r="N411">
        <v>588</v>
      </c>
      <c r="O411">
        <v>4116</v>
      </c>
      <c r="P411" t="s">
        <v>61</v>
      </c>
      <c r="Q411">
        <v>1</v>
      </c>
      <c r="R411">
        <v>4</v>
      </c>
      <c r="S411" t="s">
        <v>46</v>
      </c>
    </row>
    <row r="412" spans="1:19" x14ac:dyDescent="0.3">
      <c r="A412">
        <v>409</v>
      </c>
      <c r="B412" t="s">
        <v>742</v>
      </c>
      <c r="C412" s="6">
        <v>45700</v>
      </c>
      <c r="D412" s="2" t="str">
        <f t="shared" si="12"/>
        <v>February</v>
      </c>
      <c r="E412" t="s">
        <v>743</v>
      </c>
      <c r="F412">
        <v>43</v>
      </c>
      <c r="G412" t="str">
        <f t="shared" si="13"/>
        <v>Adult</v>
      </c>
      <c r="H412" t="s">
        <v>42</v>
      </c>
      <c r="I412" t="s">
        <v>70</v>
      </c>
      <c r="J412" t="s">
        <v>32</v>
      </c>
      <c r="K412" t="s">
        <v>51</v>
      </c>
      <c r="L412" t="s">
        <v>111</v>
      </c>
      <c r="M412">
        <v>8</v>
      </c>
      <c r="N412">
        <v>1388</v>
      </c>
      <c r="O412">
        <v>11104</v>
      </c>
      <c r="P412" t="s">
        <v>61</v>
      </c>
      <c r="Q412">
        <v>7</v>
      </c>
      <c r="R412">
        <v>3</v>
      </c>
      <c r="S412" t="s">
        <v>46</v>
      </c>
    </row>
    <row r="413" spans="1:19" x14ac:dyDescent="0.3">
      <c r="A413">
        <v>410</v>
      </c>
      <c r="B413" t="s">
        <v>744</v>
      </c>
      <c r="C413" s="6">
        <v>45701</v>
      </c>
      <c r="D413" s="2" t="str">
        <f t="shared" si="12"/>
        <v>February</v>
      </c>
      <c r="E413" t="s">
        <v>745</v>
      </c>
      <c r="F413">
        <v>38</v>
      </c>
      <c r="G413" t="str">
        <f t="shared" si="13"/>
        <v>Adult</v>
      </c>
      <c r="H413" t="s">
        <v>42</v>
      </c>
      <c r="I413" t="s">
        <v>102</v>
      </c>
      <c r="J413" t="s">
        <v>50</v>
      </c>
      <c r="K413" t="s">
        <v>51</v>
      </c>
      <c r="L413" t="s">
        <v>74</v>
      </c>
      <c r="M413">
        <v>2</v>
      </c>
      <c r="N413">
        <v>547</v>
      </c>
      <c r="O413">
        <v>1094</v>
      </c>
      <c r="P413" t="s">
        <v>116</v>
      </c>
      <c r="Q413">
        <v>6</v>
      </c>
      <c r="R413">
        <v>4</v>
      </c>
      <c r="S413" t="s">
        <v>28</v>
      </c>
    </row>
    <row r="414" spans="1:19" x14ac:dyDescent="0.3">
      <c r="A414">
        <v>411</v>
      </c>
      <c r="B414" t="s">
        <v>746</v>
      </c>
      <c r="C414" s="6">
        <v>45702</v>
      </c>
      <c r="D414" s="2" t="str">
        <f t="shared" si="12"/>
        <v>February</v>
      </c>
      <c r="E414" t="s">
        <v>724</v>
      </c>
      <c r="F414">
        <v>28</v>
      </c>
      <c r="G414" t="str">
        <f t="shared" si="13"/>
        <v>Teenager</v>
      </c>
      <c r="H414" t="s">
        <v>22</v>
      </c>
      <c r="I414" t="s">
        <v>120</v>
      </c>
      <c r="J414" t="s">
        <v>65</v>
      </c>
      <c r="K414" t="s">
        <v>44</v>
      </c>
      <c r="L414" t="s">
        <v>224</v>
      </c>
      <c r="M414">
        <v>9</v>
      </c>
      <c r="N414">
        <v>33604</v>
      </c>
      <c r="O414">
        <v>302436</v>
      </c>
      <c r="P414" t="s">
        <v>61</v>
      </c>
      <c r="Q414">
        <v>8</v>
      </c>
      <c r="R414">
        <v>5</v>
      </c>
      <c r="S414" t="s">
        <v>28</v>
      </c>
    </row>
    <row r="415" spans="1:19" x14ac:dyDescent="0.3">
      <c r="A415">
        <v>412</v>
      </c>
      <c r="B415" t="s">
        <v>747</v>
      </c>
      <c r="C415" s="6">
        <v>45703</v>
      </c>
      <c r="D415" s="2" t="str">
        <f t="shared" si="12"/>
        <v>February</v>
      </c>
      <c r="E415" t="s">
        <v>748</v>
      </c>
      <c r="F415">
        <v>33</v>
      </c>
      <c r="G415" t="str">
        <f t="shared" si="13"/>
        <v>Adult</v>
      </c>
      <c r="H415" t="s">
        <v>22</v>
      </c>
      <c r="I415" t="s">
        <v>43</v>
      </c>
      <c r="J415" t="s">
        <v>24</v>
      </c>
      <c r="K415" t="s">
        <v>51</v>
      </c>
      <c r="L415" t="s">
        <v>86</v>
      </c>
      <c r="M415">
        <v>3</v>
      </c>
      <c r="N415">
        <v>113</v>
      </c>
      <c r="O415">
        <v>339</v>
      </c>
      <c r="P415" t="s">
        <v>27</v>
      </c>
      <c r="Q415">
        <v>8</v>
      </c>
      <c r="R415">
        <v>5</v>
      </c>
      <c r="S415" t="s">
        <v>46</v>
      </c>
    </row>
    <row r="416" spans="1:19" x14ac:dyDescent="0.3">
      <c r="A416">
        <v>413</v>
      </c>
      <c r="B416" t="s">
        <v>749</v>
      </c>
      <c r="C416" s="6">
        <v>45704</v>
      </c>
      <c r="D416" s="2" t="str">
        <f t="shared" si="12"/>
        <v>February</v>
      </c>
      <c r="E416" t="s">
        <v>534</v>
      </c>
      <c r="F416">
        <v>52</v>
      </c>
      <c r="G416" t="str">
        <f t="shared" si="13"/>
        <v>Senior</v>
      </c>
      <c r="H416" t="s">
        <v>42</v>
      </c>
      <c r="I416" t="s">
        <v>49</v>
      </c>
      <c r="J416" t="s">
        <v>32</v>
      </c>
      <c r="K416" t="s">
        <v>38</v>
      </c>
      <c r="L416" t="s">
        <v>81</v>
      </c>
      <c r="M416">
        <v>3</v>
      </c>
      <c r="N416">
        <v>22187</v>
      </c>
      <c r="O416">
        <v>66561</v>
      </c>
      <c r="P416" t="s">
        <v>99</v>
      </c>
      <c r="Q416">
        <v>2</v>
      </c>
      <c r="R416">
        <v>3</v>
      </c>
      <c r="S416" t="s">
        <v>46</v>
      </c>
    </row>
    <row r="417" spans="1:19" x14ac:dyDescent="0.3">
      <c r="A417">
        <v>414</v>
      </c>
      <c r="B417" t="s">
        <v>750</v>
      </c>
      <c r="C417" s="6">
        <v>45705</v>
      </c>
      <c r="D417" s="2" t="str">
        <f t="shared" si="12"/>
        <v>February</v>
      </c>
      <c r="E417" t="s">
        <v>239</v>
      </c>
      <c r="F417">
        <v>30</v>
      </c>
      <c r="G417" t="str">
        <f t="shared" si="13"/>
        <v>Adult</v>
      </c>
      <c r="H417" t="s">
        <v>22</v>
      </c>
      <c r="I417" t="s">
        <v>80</v>
      </c>
      <c r="J417" t="s">
        <v>24</v>
      </c>
      <c r="K417" t="s">
        <v>25</v>
      </c>
      <c r="L417" t="s">
        <v>77</v>
      </c>
      <c r="M417">
        <v>7</v>
      </c>
      <c r="N417">
        <v>5570</v>
      </c>
      <c r="O417">
        <v>38990</v>
      </c>
      <c r="P417" t="s">
        <v>99</v>
      </c>
      <c r="Q417">
        <v>1</v>
      </c>
      <c r="R417">
        <v>4</v>
      </c>
      <c r="S417" t="s">
        <v>46</v>
      </c>
    </row>
    <row r="418" spans="1:19" x14ac:dyDescent="0.3">
      <c r="A418">
        <v>415</v>
      </c>
      <c r="B418" t="s">
        <v>751</v>
      </c>
      <c r="C418" s="6">
        <v>45706</v>
      </c>
      <c r="D418" s="2" t="str">
        <f t="shared" si="12"/>
        <v>February</v>
      </c>
      <c r="E418" t="s">
        <v>752</v>
      </c>
      <c r="F418">
        <v>47</v>
      </c>
      <c r="G418" t="str">
        <f t="shared" si="13"/>
        <v>Adult</v>
      </c>
      <c r="H418" t="s">
        <v>42</v>
      </c>
      <c r="I418" t="s">
        <v>37</v>
      </c>
      <c r="J418" t="s">
        <v>32</v>
      </c>
      <c r="K418" t="s">
        <v>33</v>
      </c>
      <c r="L418" t="s">
        <v>34</v>
      </c>
      <c r="M418">
        <v>8</v>
      </c>
      <c r="N418">
        <v>18493</v>
      </c>
      <c r="O418">
        <v>147944</v>
      </c>
      <c r="P418" t="s">
        <v>116</v>
      </c>
      <c r="Q418">
        <v>3</v>
      </c>
      <c r="R418">
        <v>1</v>
      </c>
      <c r="S418" t="s">
        <v>46</v>
      </c>
    </row>
    <row r="419" spans="1:19" x14ac:dyDescent="0.3">
      <c r="A419">
        <v>416</v>
      </c>
      <c r="B419" t="s">
        <v>753</v>
      </c>
      <c r="C419" s="6">
        <v>45707</v>
      </c>
      <c r="D419" s="2" t="str">
        <f t="shared" si="12"/>
        <v>February</v>
      </c>
      <c r="E419" t="s">
        <v>57</v>
      </c>
      <c r="F419">
        <v>56</v>
      </c>
      <c r="G419" t="str">
        <f t="shared" si="13"/>
        <v>Senior</v>
      </c>
      <c r="H419" t="s">
        <v>42</v>
      </c>
      <c r="I419" t="s">
        <v>49</v>
      </c>
      <c r="J419" t="s">
        <v>24</v>
      </c>
      <c r="K419" t="s">
        <v>44</v>
      </c>
      <c r="L419" t="s">
        <v>91</v>
      </c>
      <c r="M419">
        <v>4</v>
      </c>
      <c r="N419">
        <v>11684</v>
      </c>
      <c r="O419">
        <v>46736</v>
      </c>
      <c r="P419" t="s">
        <v>99</v>
      </c>
      <c r="Q419">
        <v>9</v>
      </c>
      <c r="R419">
        <v>1</v>
      </c>
      <c r="S419" t="s">
        <v>46</v>
      </c>
    </row>
    <row r="420" spans="1:19" x14ac:dyDescent="0.3">
      <c r="A420">
        <v>417</v>
      </c>
      <c r="B420" t="s">
        <v>754</v>
      </c>
      <c r="C420" s="6">
        <v>45708</v>
      </c>
      <c r="D420" s="2" t="str">
        <f t="shared" si="12"/>
        <v>February</v>
      </c>
      <c r="E420" t="s">
        <v>451</v>
      </c>
      <c r="F420">
        <v>44</v>
      </c>
      <c r="G420" t="str">
        <f t="shared" si="13"/>
        <v>Adult</v>
      </c>
      <c r="H420" t="s">
        <v>22</v>
      </c>
      <c r="I420" t="s">
        <v>23</v>
      </c>
      <c r="J420" t="s">
        <v>65</v>
      </c>
      <c r="K420" t="s">
        <v>25</v>
      </c>
      <c r="L420" t="s">
        <v>124</v>
      </c>
      <c r="M420">
        <v>1</v>
      </c>
      <c r="N420">
        <v>25949</v>
      </c>
      <c r="O420">
        <v>25949</v>
      </c>
      <c r="P420" t="s">
        <v>61</v>
      </c>
      <c r="Q420">
        <v>9</v>
      </c>
      <c r="R420">
        <v>4</v>
      </c>
      <c r="S420" t="s">
        <v>46</v>
      </c>
    </row>
    <row r="421" spans="1:19" x14ac:dyDescent="0.3">
      <c r="A421">
        <v>418</v>
      </c>
      <c r="B421" t="s">
        <v>755</v>
      </c>
      <c r="C421" s="6">
        <v>45709</v>
      </c>
      <c r="D421" s="2" t="str">
        <f t="shared" si="12"/>
        <v>February</v>
      </c>
      <c r="E421" t="s">
        <v>496</v>
      </c>
      <c r="F421">
        <v>55</v>
      </c>
      <c r="G421" t="str">
        <f t="shared" si="13"/>
        <v>Senior</v>
      </c>
      <c r="H421" t="s">
        <v>42</v>
      </c>
      <c r="I421" t="s">
        <v>120</v>
      </c>
      <c r="J421" t="s">
        <v>65</v>
      </c>
      <c r="K421" t="s">
        <v>51</v>
      </c>
      <c r="L421" t="s">
        <v>52</v>
      </c>
      <c r="M421">
        <v>3</v>
      </c>
      <c r="N421">
        <v>59</v>
      </c>
      <c r="O421">
        <v>177</v>
      </c>
      <c r="P421" t="s">
        <v>53</v>
      </c>
      <c r="Q421">
        <v>4</v>
      </c>
      <c r="R421">
        <v>2</v>
      </c>
      <c r="S421" t="s">
        <v>28</v>
      </c>
    </row>
    <row r="422" spans="1:19" x14ac:dyDescent="0.3">
      <c r="A422">
        <v>419</v>
      </c>
      <c r="B422" t="s">
        <v>756</v>
      </c>
      <c r="C422" s="6">
        <v>45710</v>
      </c>
      <c r="D422" s="2" t="str">
        <f t="shared" si="12"/>
        <v>February</v>
      </c>
      <c r="E422" t="s">
        <v>757</v>
      </c>
      <c r="F422">
        <v>25</v>
      </c>
      <c r="G422" t="str">
        <f t="shared" si="13"/>
        <v>Teenager</v>
      </c>
      <c r="H422" t="s">
        <v>22</v>
      </c>
      <c r="I422" t="s">
        <v>49</v>
      </c>
      <c r="J422" t="s">
        <v>24</v>
      </c>
      <c r="K422" t="s">
        <v>51</v>
      </c>
      <c r="L422" t="s">
        <v>60</v>
      </c>
      <c r="M422">
        <v>1</v>
      </c>
      <c r="N422">
        <v>216</v>
      </c>
      <c r="O422">
        <v>216</v>
      </c>
      <c r="P422" t="s">
        <v>27</v>
      </c>
      <c r="Q422">
        <v>8</v>
      </c>
      <c r="R422">
        <v>4</v>
      </c>
      <c r="S422" t="s">
        <v>28</v>
      </c>
    </row>
    <row r="423" spans="1:19" x14ac:dyDescent="0.3">
      <c r="A423">
        <v>420</v>
      </c>
      <c r="B423" t="s">
        <v>758</v>
      </c>
      <c r="C423" s="6">
        <v>45711</v>
      </c>
      <c r="D423" s="2" t="str">
        <f t="shared" si="12"/>
        <v>February</v>
      </c>
      <c r="E423" t="s">
        <v>98</v>
      </c>
      <c r="F423">
        <v>47</v>
      </c>
      <c r="G423" t="str">
        <f t="shared" si="13"/>
        <v>Adult</v>
      </c>
      <c r="H423" t="s">
        <v>42</v>
      </c>
      <c r="I423" t="s">
        <v>80</v>
      </c>
      <c r="J423" t="s">
        <v>32</v>
      </c>
      <c r="K423" t="s">
        <v>38</v>
      </c>
      <c r="L423" t="s">
        <v>96</v>
      </c>
      <c r="M423">
        <v>4</v>
      </c>
      <c r="N423">
        <v>30774</v>
      </c>
      <c r="O423">
        <v>123096</v>
      </c>
      <c r="P423" t="s">
        <v>61</v>
      </c>
      <c r="Q423">
        <v>4</v>
      </c>
      <c r="R423">
        <v>2</v>
      </c>
      <c r="S423" t="s">
        <v>28</v>
      </c>
    </row>
    <row r="424" spans="1:19" x14ac:dyDescent="0.3">
      <c r="A424">
        <v>421</v>
      </c>
      <c r="B424" t="s">
        <v>759</v>
      </c>
      <c r="C424" s="6">
        <v>45712</v>
      </c>
      <c r="D424" s="2" t="str">
        <f t="shared" si="12"/>
        <v>February</v>
      </c>
      <c r="E424" t="s">
        <v>223</v>
      </c>
      <c r="F424">
        <v>34</v>
      </c>
      <c r="G424" t="str">
        <f t="shared" si="13"/>
        <v>Adult</v>
      </c>
      <c r="H424" t="s">
        <v>42</v>
      </c>
      <c r="I424" t="s">
        <v>120</v>
      </c>
      <c r="J424" t="s">
        <v>65</v>
      </c>
      <c r="K424" t="s">
        <v>38</v>
      </c>
      <c r="L424" t="s">
        <v>135</v>
      </c>
      <c r="M424">
        <v>8</v>
      </c>
      <c r="N424">
        <v>26302</v>
      </c>
      <c r="O424">
        <v>210416</v>
      </c>
      <c r="P424" t="s">
        <v>99</v>
      </c>
      <c r="Q424">
        <v>5</v>
      </c>
      <c r="R424">
        <v>3</v>
      </c>
      <c r="S424" t="s">
        <v>46</v>
      </c>
    </row>
    <row r="425" spans="1:19" x14ac:dyDescent="0.3">
      <c r="A425">
        <v>422</v>
      </c>
      <c r="B425" t="s">
        <v>760</v>
      </c>
      <c r="C425" s="6">
        <v>45713</v>
      </c>
      <c r="D425" s="2" t="str">
        <f t="shared" si="12"/>
        <v>February</v>
      </c>
      <c r="E425" t="s">
        <v>442</v>
      </c>
      <c r="F425">
        <v>51</v>
      </c>
      <c r="G425" t="str">
        <f t="shared" si="13"/>
        <v>Senior</v>
      </c>
      <c r="H425" t="s">
        <v>22</v>
      </c>
      <c r="I425" t="s">
        <v>70</v>
      </c>
      <c r="J425" t="s">
        <v>65</v>
      </c>
      <c r="K425" t="s">
        <v>33</v>
      </c>
      <c r="L425" t="s">
        <v>160</v>
      </c>
      <c r="M425">
        <v>3</v>
      </c>
      <c r="N425">
        <v>38169</v>
      </c>
      <c r="O425">
        <v>114507</v>
      </c>
      <c r="P425" t="s">
        <v>99</v>
      </c>
      <c r="Q425">
        <v>7</v>
      </c>
      <c r="R425">
        <v>1</v>
      </c>
      <c r="S425" t="s">
        <v>46</v>
      </c>
    </row>
    <row r="426" spans="1:19" x14ac:dyDescent="0.3">
      <c r="A426">
        <v>423</v>
      </c>
      <c r="B426" t="s">
        <v>761</v>
      </c>
      <c r="C426" s="6">
        <v>45714</v>
      </c>
      <c r="D426" s="2" t="str">
        <f t="shared" si="12"/>
        <v>February</v>
      </c>
      <c r="E426" t="s">
        <v>567</v>
      </c>
      <c r="F426">
        <v>50</v>
      </c>
      <c r="G426" t="str">
        <f t="shared" si="13"/>
        <v>Senior</v>
      </c>
      <c r="H426" t="s">
        <v>22</v>
      </c>
      <c r="I426" t="s">
        <v>70</v>
      </c>
      <c r="J426" t="s">
        <v>65</v>
      </c>
      <c r="K426" t="s">
        <v>38</v>
      </c>
      <c r="L426" t="s">
        <v>81</v>
      </c>
      <c r="M426">
        <v>1</v>
      </c>
      <c r="N426">
        <v>46869</v>
      </c>
      <c r="O426">
        <v>46869</v>
      </c>
      <c r="P426" t="s">
        <v>53</v>
      </c>
      <c r="Q426">
        <v>10</v>
      </c>
      <c r="R426">
        <v>1</v>
      </c>
      <c r="S426" t="s">
        <v>46</v>
      </c>
    </row>
    <row r="427" spans="1:19" x14ac:dyDescent="0.3">
      <c r="A427">
        <v>424</v>
      </c>
      <c r="B427" t="s">
        <v>762</v>
      </c>
      <c r="C427" s="6">
        <v>45715</v>
      </c>
      <c r="D427" s="2" t="str">
        <f t="shared" si="12"/>
        <v>February</v>
      </c>
      <c r="E427" t="s">
        <v>763</v>
      </c>
      <c r="F427">
        <v>50</v>
      </c>
      <c r="G427" t="str">
        <f t="shared" si="13"/>
        <v>Senior</v>
      </c>
      <c r="H427" t="s">
        <v>42</v>
      </c>
      <c r="I427" t="s">
        <v>31</v>
      </c>
      <c r="J427" t="s">
        <v>32</v>
      </c>
      <c r="K427" t="s">
        <v>51</v>
      </c>
      <c r="L427" t="s">
        <v>86</v>
      </c>
      <c r="M427">
        <v>3</v>
      </c>
      <c r="N427">
        <v>533</v>
      </c>
      <c r="O427">
        <v>1599</v>
      </c>
      <c r="P427" t="s">
        <v>99</v>
      </c>
      <c r="Q427">
        <v>3</v>
      </c>
      <c r="R427">
        <v>3</v>
      </c>
      <c r="S427" t="s">
        <v>46</v>
      </c>
    </row>
    <row r="428" spans="1:19" x14ac:dyDescent="0.3">
      <c r="A428">
        <v>425</v>
      </c>
      <c r="B428" t="s">
        <v>764</v>
      </c>
      <c r="C428" s="6">
        <v>45716</v>
      </c>
      <c r="D428" s="2" t="str">
        <f t="shared" si="12"/>
        <v>February</v>
      </c>
      <c r="E428" t="s">
        <v>765</v>
      </c>
      <c r="F428">
        <v>59</v>
      </c>
      <c r="G428" t="str">
        <f t="shared" si="13"/>
        <v>Senior</v>
      </c>
      <c r="H428" t="s">
        <v>22</v>
      </c>
      <c r="I428" t="s">
        <v>70</v>
      </c>
      <c r="J428" t="s">
        <v>50</v>
      </c>
      <c r="K428" t="s">
        <v>51</v>
      </c>
      <c r="L428" t="s">
        <v>60</v>
      </c>
      <c r="M428">
        <v>2</v>
      </c>
      <c r="N428">
        <v>727</v>
      </c>
      <c r="O428">
        <v>1454</v>
      </c>
      <c r="P428" t="s">
        <v>116</v>
      </c>
      <c r="Q428">
        <v>8</v>
      </c>
      <c r="R428">
        <v>3</v>
      </c>
      <c r="S428" t="s">
        <v>46</v>
      </c>
    </row>
    <row r="429" spans="1:19" x14ac:dyDescent="0.3">
      <c r="A429">
        <v>426</v>
      </c>
      <c r="B429" t="s">
        <v>766</v>
      </c>
      <c r="C429" s="6">
        <v>45717</v>
      </c>
      <c r="D429" s="2" t="str">
        <f t="shared" si="12"/>
        <v>March</v>
      </c>
      <c r="E429" t="s">
        <v>256</v>
      </c>
      <c r="F429">
        <v>28</v>
      </c>
      <c r="G429" t="str">
        <f t="shared" si="13"/>
        <v>Teenager</v>
      </c>
      <c r="H429" t="s">
        <v>42</v>
      </c>
      <c r="I429" t="s">
        <v>70</v>
      </c>
      <c r="J429" t="s">
        <v>24</v>
      </c>
      <c r="K429" t="s">
        <v>33</v>
      </c>
      <c r="L429" t="s">
        <v>160</v>
      </c>
      <c r="M429">
        <v>5</v>
      </c>
      <c r="N429">
        <v>48051</v>
      </c>
      <c r="O429">
        <v>240255</v>
      </c>
      <c r="P429" t="s">
        <v>27</v>
      </c>
      <c r="Q429">
        <v>5</v>
      </c>
      <c r="R429">
        <v>2</v>
      </c>
      <c r="S429" t="s">
        <v>46</v>
      </c>
    </row>
    <row r="430" spans="1:19" x14ac:dyDescent="0.3">
      <c r="A430">
        <v>427</v>
      </c>
      <c r="B430" t="s">
        <v>767</v>
      </c>
      <c r="C430" s="6">
        <v>45718</v>
      </c>
      <c r="D430" s="2" t="str">
        <f t="shared" si="12"/>
        <v>March</v>
      </c>
      <c r="E430" t="s">
        <v>280</v>
      </c>
      <c r="F430">
        <v>28</v>
      </c>
      <c r="G430" t="str">
        <f t="shared" si="13"/>
        <v>Teenager</v>
      </c>
      <c r="H430" t="s">
        <v>22</v>
      </c>
      <c r="I430" t="s">
        <v>31</v>
      </c>
      <c r="J430" t="s">
        <v>24</v>
      </c>
      <c r="K430" t="s">
        <v>51</v>
      </c>
      <c r="L430" t="s">
        <v>52</v>
      </c>
      <c r="M430">
        <v>10</v>
      </c>
      <c r="N430">
        <v>1543</v>
      </c>
      <c r="O430">
        <v>15430</v>
      </c>
      <c r="P430" t="s">
        <v>61</v>
      </c>
      <c r="Q430">
        <v>6</v>
      </c>
      <c r="R430">
        <v>4</v>
      </c>
      <c r="S430" t="s">
        <v>46</v>
      </c>
    </row>
    <row r="431" spans="1:19" x14ac:dyDescent="0.3">
      <c r="A431">
        <v>428</v>
      </c>
      <c r="B431" t="s">
        <v>768</v>
      </c>
      <c r="C431" s="6">
        <v>45719</v>
      </c>
      <c r="D431" s="2" t="str">
        <f t="shared" si="12"/>
        <v>March</v>
      </c>
      <c r="E431" t="s">
        <v>63</v>
      </c>
      <c r="F431">
        <v>48</v>
      </c>
      <c r="G431" t="str">
        <f t="shared" si="13"/>
        <v>Adult</v>
      </c>
      <c r="H431" t="s">
        <v>22</v>
      </c>
      <c r="I431" t="s">
        <v>120</v>
      </c>
      <c r="J431" t="s">
        <v>24</v>
      </c>
      <c r="K431" t="s">
        <v>25</v>
      </c>
      <c r="L431" t="s">
        <v>26</v>
      </c>
      <c r="M431">
        <v>1</v>
      </c>
      <c r="N431">
        <v>19262</v>
      </c>
      <c r="O431">
        <v>19262</v>
      </c>
      <c r="P431" t="s">
        <v>116</v>
      </c>
      <c r="Q431">
        <v>10</v>
      </c>
      <c r="R431">
        <v>1</v>
      </c>
      <c r="S431" t="s">
        <v>46</v>
      </c>
    </row>
    <row r="432" spans="1:19" x14ac:dyDescent="0.3">
      <c r="A432">
        <v>429</v>
      </c>
      <c r="B432" t="s">
        <v>769</v>
      </c>
      <c r="C432" s="6">
        <v>45720</v>
      </c>
      <c r="D432" s="2" t="str">
        <f t="shared" si="12"/>
        <v>March</v>
      </c>
      <c r="E432" t="s">
        <v>770</v>
      </c>
      <c r="F432">
        <v>55</v>
      </c>
      <c r="G432" t="str">
        <f t="shared" si="13"/>
        <v>Senior</v>
      </c>
      <c r="H432" t="s">
        <v>22</v>
      </c>
      <c r="I432" t="s">
        <v>31</v>
      </c>
      <c r="J432" t="s">
        <v>24</v>
      </c>
      <c r="K432" t="s">
        <v>33</v>
      </c>
      <c r="L432" t="s">
        <v>173</v>
      </c>
      <c r="M432">
        <v>1</v>
      </c>
      <c r="N432">
        <v>4456</v>
      </c>
      <c r="O432">
        <v>4456</v>
      </c>
      <c r="P432" t="s">
        <v>116</v>
      </c>
      <c r="Q432">
        <v>9</v>
      </c>
      <c r="R432">
        <v>2</v>
      </c>
      <c r="S432" t="s">
        <v>28</v>
      </c>
    </row>
    <row r="433" spans="1:19" x14ac:dyDescent="0.3">
      <c r="A433">
        <v>430</v>
      </c>
      <c r="B433" t="s">
        <v>771</v>
      </c>
      <c r="C433" s="6">
        <v>45721</v>
      </c>
      <c r="D433" s="2" t="str">
        <f t="shared" si="12"/>
        <v>March</v>
      </c>
      <c r="E433" t="s">
        <v>203</v>
      </c>
      <c r="F433">
        <v>56</v>
      </c>
      <c r="G433" t="str">
        <f t="shared" si="13"/>
        <v>Senior</v>
      </c>
      <c r="H433" t="s">
        <v>42</v>
      </c>
      <c r="I433" t="s">
        <v>70</v>
      </c>
      <c r="J433" t="s">
        <v>50</v>
      </c>
      <c r="K433" t="s">
        <v>33</v>
      </c>
      <c r="L433" t="s">
        <v>173</v>
      </c>
      <c r="M433">
        <v>3</v>
      </c>
      <c r="N433">
        <v>47901</v>
      </c>
      <c r="O433">
        <v>143703</v>
      </c>
      <c r="P433" t="s">
        <v>53</v>
      </c>
      <c r="Q433">
        <v>2</v>
      </c>
      <c r="R433">
        <v>5</v>
      </c>
      <c r="S433" t="s">
        <v>28</v>
      </c>
    </row>
    <row r="434" spans="1:19" x14ac:dyDescent="0.3">
      <c r="A434">
        <v>431</v>
      </c>
      <c r="B434" t="s">
        <v>772</v>
      </c>
      <c r="C434" s="6">
        <v>45722</v>
      </c>
      <c r="D434" s="2" t="str">
        <f t="shared" si="12"/>
        <v>March</v>
      </c>
      <c r="E434" t="s">
        <v>260</v>
      </c>
      <c r="F434">
        <v>45</v>
      </c>
      <c r="G434" t="str">
        <f t="shared" si="13"/>
        <v>Adult</v>
      </c>
      <c r="H434" t="s">
        <v>42</v>
      </c>
      <c r="I434" t="s">
        <v>23</v>
      </c>
      <c r="J434" t="s">
        <v>65</v>
      </c>
      <c r="K434" t="s">
        <v>33</v>
      </c>
      <c r="L434" t="s">
        <v>173</v>
      </c>
      <c r="M434">
        <v>1</v>
      </c>
      <c r="N434">
        <v>17306</v>
      </c>
      <c r="O434">
        <v>17306</v>
      </c>
      <c r="P434" t="s">
        <v>27</v>
      </c>
      <c r="Q434">
        <v>3</v>
      </c>
      <c r="R434">
        <v>2</v>
      </c>
      <c r="S434" t="s">
        <v>28</v>
      </c>
    </row>
    <row r="435" spans="1:19" x14ac:dyDescent="0.3">
      <c r="A435">
        <v>432</v>
      </c>
      <c r="B435" t="s">
        <v>773</v>
      </c>
      <c r="C435" s="6">
        <v>45723</v>
      </c>
      <c r="D435" s="2" t="str">
        <f t="shared" si="12"/>
        <v>March</v>
      </c>
      <c r="E435" t="s">
        <v>774</v>
      </c>
      <c r="F435">
        <v>58</v>
      </c>
      <c r="G435" t="str">
        <f t="shared" si="13"/>
        <v>Senior</v>
      </c>
      <c r="H435" t="s">
        <v>22</v>
      </c>
      <c r="I435" t="s">
        <v>49</v>
      </c>
      <c r="J435" t="s">
        <v>65</v>
      </c>
      <c r="K435" t="s">
        <v>25</v>
      </c>
      <c r="L435" t="s">
        <v>189</v>
      </c>
      <c r="M435">
        <v>3</v>
      </c>
      <c r="N435">
        <v>19453</v>
      </c>
      <c r="O435">
        <v>58359</v>
      </c>
      <c r="P435" t="s">
        <v>99</v>
      </c>
      <c r="Q435">
        <v>8</v>
      </c>
      <c r="R435">
        <v>2</v>
      </c>
      <c r="S435" t="s">
        <v>28</v>
      </c>
    </row>
    <row r="436" spans="1:19" x14ac:dyDescent="0.3">
      <c r="A436">
        <v>433</v>
      </c>
      <c r="B436" t="s">
        <v>775</v>
      </c>
      <c r="C436" s="6">
        <v>45724</v>
      </c>
      <c r="D436" s="2" t="str">
        <f t="shared" si="12"/>
        <v>March</v>
      </c>
      <c r="E436" t="s">
        <v>98</v>
      </c>
      <c r="F436">
        <v>31</v>
      </c>
      <c r="G436" t="str">
        <f t="shared" si="13"/>
        <v>Adult</v>
      </c>
      <c r="H436" t="s">
        <v>42</v>
      </c>
      <c r="I436" t="s">
        <v>31</v>
      </c>
      <c r="J436" t="s">
        <v>32</v>
      </c>
      <c r="K436" t="s">
        <v>25</v>
      </c>
      <c r="L436" t="s">
        <v>189</v>
      </c>
      <c r="M436">
        <v>10</v>
      </c>
      <c r="N436">
        <v>45397</v>
      </c>
      <c r="O436">
        <v>453970</v>
      </c>
      <c r="P436" t="s">
        <v>61</v>
      </c>
      <c r="Q436">
        <v>9</v>
      </c>
      <c r="R436">
        <v>5</v>
      </c>
      <c r="S436" t="s">
        <v>46</v>
      </c>
    </row>
    <row r="437" spans="1:19" x14ac:dyDescent="0.3">
      <c r="A437">
        <v>434</v>
      </c>
      <c r="B437" t="s">
        <v>776</v>
      </c>
      <c r="C437" s="6">
        <v>45725</v>
      </c>
      <c r="D437" s="2" t="str">
        <f t="shared" si="12"/>
        <v>March</v>
      </c>
      <c r="E437" t="s">
        <v>777</v>
      </c>
      <c r="F437">
        <v>52</v>
      </c>
      <c r="G437" t="str">
        <f t="shared" si="13"/>
        <v>Senior</v>
      </c>
      <c r="H437" t="s">
        <v>42</v>
      </c>
      <c r="I437" t="s">
        <v>102</v>
      </c>
      <c r="J437" t="s">
        <v>32</v>
      </c>
      <c r="K437" t="s">
        <v>44</v>
      </c>
      <c r="L437" t="s">
        <v>91</v>
      </c>
      <c r="M437">
        <v>9</v>
      </c>
      <c r="N437">
        <v>21278</v>
      </c>
      <c r="O437">
        <v>191502</v>
      </c>
      <c r="P437" t="s">
        <v>116</v>
      </c>
      <c r="Q437">
        <v>8</v>
      </c>
      <c r="R437">
        <v>1</v>
      </c>
      <c r="S437" t="s">
        <v>46</v>
      </c>
    </row>
    <row r="438" spans="1:19" x14ac:dyDescent="0.3">
      <c r="A438">
        <v>435</v>
      </c>
      <c r="B438" t="s">
        <v>778</v>
      </c>
      <c r="C438" s="6">
        <v>45726</v>
      </c>
      <c r="D438" s="2" t="str">
        <f t="shared" si="12"/>
        <v>March</v>
      </c>
      <c r="E438" t="s">
        <v>779</v>
      </c>
      <c r="F438">
        <v>57</v>
      </c>
      <c r="G438" t="str">
        <f t="shared" si="13"/>
        <v>Senior</v>
      </c>
      <c r="H438" t="s">
        <v>22</v>
      </c>
      <c r="I438" t="s">
        <v>37</v>
      </c>
      <c r="J438" t="s">
        <v>32</v>
      </c>
      <c r="K438" t="s">
        <v>25</v>
      </c>
      <c r="L438" t="s">
        <v>77</v>
      </c>
      <c r="M438">
        <v>4</v>
      </c>
      <c r="N438">
        <v>3099</v>
      </c>
      <c r="O438">
        <v>12396</v>
      </c>
      <c r="P438" t="s">
        <v>116</v>
      </c>
      <c r="Q438">
        <v>5</v>
      </c>
      <c r="R438">
        <v>4</v>
      </c>
      <c r="S438" t="s">
        <v>46</v>
      </c>
    </row>
    <row r="439" spans="1:19" x14ac:dyDescent="0.3">
      <c r="A439">
        <v>436</v>
      </c>
      <c r="B439" t="s">
        <v>780</v>
      </c>
      <c r="C439" s="6">
        <v>45727</v>
      </c>
      <c r="D439" s="2" t="str">
        <f t="shared" si="12"/>
        <v>March</v>
      </c>
      <c r="E439" t="s">
        <v>553</v>
      </c>
      <c r="F439">
        <v>60</v>
      </c>
      <c r="G439" t="str">
        <f t="shared" si="13"/>
        <v>Senior</v>
      </c>
      <c r="H439" t="s">
        <v>22</v>
      </c>
      <c r="I439" t="s">
        <v>37</v>
      </c>
      <c r="J439" t="s">
        <v>65</v>
      </c>
      <c r="K439" t="s">
        <v>38</v>
      </c>
      <c r="L439" t="s">
        <v>71</v>
      </c>
      <c r="M439">
        <v>8</v>
      </c>
      <c r="N439">
        <v>7116</v>
      </c>
      <c r="O439">
        <v>56928</v>
      </c>
      <c r="P439" t="s">
        <v>27</v>
      </c>
      <c r="Q439">
        <v>6</v>
      </c>
      <c r="R439">
        <v>4</v>
      </c>
      <c r="S439" t="s">
        <v>46</v>
      </c>
    </row>
    <row r="440" spans="1:19" x14ac:dyDescent="0.3">
      <c r="A440">
        <v>437</v>
      </c>
      <c r="B440" t="s">
        <v>781</v>
      </c>
      <c r="C440" s="6">
        <v>45728</v>
      </c>
      <c r="D440" s="2" t="str">
        <f t="shared" si="12"/>
        <v>March</v>
      </c>
      <c r="E440" t="s">
        <v>782</v>
      </c>
      <c r="F440">
        <v>52</v>
      </c>
      <c r="G440" t="str">
        <f t="shared" si="13"/>
        <v>Senior</v>
      </c>
      <c r="H440" t="s">
        <v>22</v>
      </c>
      <c r="I440" t="s">
        <v>80</v>
      </c>
      <c r="J440" t="s">
        <v>65</v>
      </c>
      <c r="K440" t="s">
        <v>25</v>
      </c>
      <c r="L440" t="s">
        <v>94</v>
      </c>
      <c r="M440">
        <v>10</v>
      </c>
      <c r="N440">
        <v>25298</v>
      </c>
      <c r="O440">
        <v>252980</v>
      </c>
      <c r="P440" t="s">
        <v>116</v>
      </c>
      <c r="Q440">
        <v>7</v>
      </c>
      <c r="R440">
        <v>1</v>
      </c>
      <c r="S440" t="s">
        <v>28</v>
      </c>
    </row>
    <row r="441" spans="1:19" x14ac:dyDescent="0.3">
      <c r="A441">
        <v>438</v>
      </c>
      <c r="B441" t="s">
        <v>783</v>
      </c>
      <c r="C441" s="6">
        <v>45729</v>
      </c>
      <c r="D441" s="2" t="str">
        <f t="shared" si="12"/>
        <v>March</v>
      </c>
      <c r="E441" t="s">
        <v>339</v>
      </c>
      <c r="F441">
        <v>35</v>
      </c>
      <c r="G441" t="str">
        <f t="shared" si="13"/>
        <v>Adult</v>
      </c>
      <c r="H441" t="s">
        <v>22</v>
      </c>
      <c r="I441" t="s">
        <v>43</v>
      </c>
      <c r="J441" t="s">
        <v>65</v>
      </c>
      <c r="K441" t="s">
        <v>51</v>
      </c>
      <c r="L441" t="s">
        <v>111</v>
      </c>
      <c r="M441">
        <v>7</v>
      </c>
      <c r="N441">
        <v>1963</v>
      </c>
      <c r="O441">
        <v>13741</v>
      </c>
      <c r="P441" t="s">
        <v>53</v>
      </c>
      <c r="Q441">
        <v>9</v>
      </c>
      <c r="R441">
        <v>5</v>
      </c>
      <c r="S441" t="s">
        <v>46</v>
      </c>
    </row>
    <row r="442" spans="1:19" x14ac:dyDescent="0.3">
      <c r="A442">
        <v>439</v>
      </c>
      <c r="B442" t="s">
        <v>784</v>
      </c>
      <c r="C442" s="6">
        <v>45730</v>
      </c>
      <c r="D442" s="2" t="str">
        <f t="shared" si="12"/>
        <v>March</v>
      </c>
      <c r="E442" t="s">
        <v>785</v>
      </c>
      <c r="F442">
        <v>54</v>
      </c>
      <c r="G442" t="str">
        <f t="shared" si="13"/>
        <v>Senior</v>
      </c>
      <c r="H442" t="s">
        <v>42</v>
      </c>
      <c r="I442" t="s">
        <v>43</v>
      </c>
      <c r="J442" t="s">
        <v>50</v>
      </c>
      <c r="K442" t="s">
        <v>38</v>
      </c>
      <c r="L442" t="s">
        <v>96</v>
      </c>
      <c r="M442">
        <v>10</v>
      </c>
      <c r="N442">
        <v>12044</v>
      </c>
      <c r="O442">
        <v>120440</v>
      </c>
      <c r="P442" t="s">
        <v>99</v>
      </c>
      <c r="Q442">
        <v>6</v>
      </c>
      <c r="R442">
        <v>1</v>
      </c>
      <c r="S442" t="s">
        <v>28</v>
      </c>
    </row>
    <row r="443" spans="1:19" x14ac:dyDescent="0.3">
      <c r="A443">
        <v>440</v>
      </c>
      <c r="B443" t="s">
        <v>786</v>
      </c>
      <c r="C443" s="6">
        <v>45731</v>
      </c>
      <c r="D443" s="2" t="str">
        <f t="shared" si="12"/>
        <v>March</v>
      </c>
      <c r="E443" t="s">
        <v>137</v>
      </c>
      <c r="F443">
        <v>46</v>
      </c>
      <c r="G443" t="str">
        <f t="shared" si="13"/>
        <v>Adult</v>
      </c>
      <c r="H443" t="s">
        <v>22</v>
      </c>
      <c r="I443" t="s">
        <v>49</v>
      </c>
      <c r="J443" t="s">
        <v>24</v>
      </c>
      <c r="K443" t="s">
        <v>51</v>
      </c>
      <c r="L443" t="s">
        <v>74</v>
      </c>
      <c r="M443">
        <v>2</v>
      </c>
      <c r="N443">
        <v>96</v>
      </c>
      <c r="O443">
        <v>192</v>
      </c>
      <c r="P443" t="s">
        <v>53</v>
      </c>
      <c r="Q443">
        <v>2</v>
      </c>
      <c r="R443">
        <v>2</v>
      </c>
      <c r="S443" t="s">
        <v>46</v>
      </c>
    </row>
    <row r="444" spans="1:19" x14ac:dyDescent="0.3">
      <c r="A444">
        <v>441</v>
      </c>
      <c r="B444" t="s">
        <v>787</v>
      </c>
      <c r="C444" s="6">
        <v>45732</v>
      </c>
      <c r="D444" s="2" t="str">
        <f t="shared" si="12"/>
        <v>March</v>
      </c>
      <c r="E444" t="s">
        <v>788</v>
      </c>
      <c r="F444">
        <v>57</v>
      </c>
      <c r="G444" t="str">
        <f t="shared" si="13"/>
        <v>Senior</v>
      </c>
      <c r="H444" t="s">
        <v>42</v>
      </c>
      <c r="I444" t="s">
        <v>23</v>
      </c>
      <c r="J444" t="s">
        <v>24</v>
      </c>
      <c r="K444" t="s">
        <v>25</v>
      </c>
      <c r="L444" t="s">
        <v>26</v>
      </c>
      <c r="M444">
        <v>2</v>
      </c>
      <c r="N444">
        <v>15835</v>
      </c>
      <c r="O444">
        <v>31670</v>
      </c>
      <c r="P444" t="s">
        <v>53</v>
      </c>
      <c r="Q444">
        <v>2</v>
      </c>
      <c r="R444">
        <v>2</v>
      </c>
      <c r="S444" t="s">
        <v>28</v>
      </c>
    </row>
    <row r="445" spans="1:19" x14ac:dyDescent="0.3">
      <c r="A445">
        <v>442</v>
      </c>
      <c r="B445" t="s">
        <v>789</v>
      </c>
      <c r="C445" s="6">
        <v>45733</v>
      </c>
      <c r="D445" s="2" t="str">
        <f t="shared" si="12"/>
        <v>March</v>
      </c>
      <c r="E445" t="s">
        <v>765</v>
      </c>
      <c r="F445">
        <v>53</v>
      </c>
      <c r="G445" t="str">
        <f t="shared" si="13"/>
        <v>Senior</v>
      </c>
      <c r="H445" t="s">
        <v>42</v>
      </c>
      <c r="I445" t="s">
        <v>102</v>
      </c>
      <c r="J445" t="s">
        <v>50</v>
      </c>
      <c r="K445" t="s">
        <v>33</v>
      </c>
      <c r="L445" t="s">
        <v>173</v>
      </c>
      <c r="M445">
        <v>5</v>
      </c>
      <c r="N445">
        <v>10934</v>
      </c>
      <c r="O445">
        <v>54670</v>
      </c>
      <c r="P445" t="s">
        <v>27</v>
      </c>
      <c r="Q445">
        <v>7</v>
      </c>
      <c r="R445">
        <v>2</v>
      </c>
      <c r="S445" t="s">
        <v>46</v>
      </c>
    </row>
    <row r="446" spans="1:19" x14ac:dyDescent="0.3">
      <c r="A446">
        <v>443</v>
      </c>
      <c r="B446" t="s">
        <v>790</v>
      </c>
      <c r="C446" s="6">
        <v>45734</v>
      </c>
      <c r="D446" s="2" t="str">
        <f t="shared" si="12"/>
        <v>March</v>
      </c>
      <c r="E446" t="s">
        <v>791</v>
      </c>
      <c r="F446">
        <v>49</v>
      </c>
      <c r="G446" t="str">
        <f t="shared" si="13"/>
        <v>Adult</v>
      </c>
      <c r="H446" t="s">
        <v>22</v>
      </c>
      <c r="I446" t="s">
        <v>23</v>
      </c>
      <c r="J446" t="s">
        <v>24</v>
      </c>
      <c r="K446" t="s">
        <v>38</v>
      </c>
      <c r="L446" t="s">
        <v>96</v>
      </c>
      <c r="M446">
        <v>3</v>
      </c>
      <c r="N446">
        <v>21188</v>
      </c>
      <c r="O446">
        <v>63564</v>
      </c>
      <c r="P446" t="s">
        <v>116</v>
      </c>
      <c r="Q446">
        <v>7</v>
      </c>
      <c r="R446">
        <v>4</v>
      </c>
      <c r="S446" t="s">
        <v>28</v>
      </c>
    </row>
    <row r="447" spans="1:19" x14ac:dyDescent="0.3">
      <c r="A447">
        <v>444</v>
      </c>
      <c r="B447" t="s">
        <v>792</v>
      </c>
      <c r="C447" s="6">
        <v>45735</v>
      </c>
      <c r="D447" s="2" t="str">
        <f t="shared" si="12"/>
        <v>March</v>
      </c>
      <c r="E447" t="s">
        <v>782</v>
      </c>
      <c r="F447">
        <v>38</v>
      </c>
      <c r="G447" t="str">
        <f t="shared" si="13"/>
        <v>Adult</v>
      </c>
      <c r="H447" t="s">
        <v>22</v>
      </c>
      <c r="I447" t="s">
        <v>43</v>
      </c>
      <c r="J447" t="s">
        <v>50</v>
      </c>
      <c r="K447" t="s">
        <v>51</v>
      </c>
      <c r="L447" t="s">
        <v>111</v>
      </c>
      <c r="M447">
        <v>4</v>
      </c>
      <c r="N447">
        <v>1203</v>
      </c>
      <c r="O447">
        <v>4812</v>
      </c>
      <c r="P447" t="s">
        <v>61</v>
      </c>
      <c r="Q447">
        <v>4</v>
      </c>
      <c r="R447">
        <v>4</v>
      </c>
      <c r="S447" t="s">
        <v>28</v>
      </c>
    </row>
    <row r="448" spans="1:19" x14ac:dyDescent="0.3">
      <c r="A448">
        <v>445</v>
      </c>
      <c r="B448" t="s">
        <v>793</v>
      </c>
      <c r="C448" s="6">
        <v>45736</v>
      </c>
      <c r="D448" s="2" t="str">
        <f t="shared" si="12"/>
        <v>March</v>
      </c>
      <c r="E448" t="s">
        <v>290</v>
      </c>
      <c r="F448">
        <v>45</v>
      </c>
      <c r="G448" t="str">
        <f t="shared" si="13"/>
        <v>Adult</v>
      </c>
      <c r="H448" t="s">
        <v>42</v>
      </c>
      <c r="I448" t="s">
        <v>120</v>
      </c>
      <c r="J448" t="s">
        <v>50</v>
      </c>
      <c r="K448" t="s">
        <v>25</v>
      </c>
      <c r="L448" t="s">
        <v>189</v>
      </c>
      <c r="M448">
        <v>5</v>
      </c>
      <c r="N448">
        <v>27124</v>
      </c>
      <c r="O448">
        <v>135620</v>
      </c>
      <c r="P448" t="s">
        <v>61</v>
      </c>
      <c r="Q448">
        <v>10</v>
      </c>
      <c r="R448">
        <v>3</v>
      </c>
      <c r="S448" t="s">
        <v>46</v>
      </c>
    </row>
    <row r="449" spans="1:19" x14ac:dyDescent="0.3">
      <c r="A449">
        <v>446</v>
      </c>
      <c r="B449" t="s">
        <v>794</v>
      </c>
      <c r="C449" s="6">
        <v>45737</v>
      </c>
      <c r="D449" s="2" t="str">
        <f t="shared" si="12"/>
        <v>March</v>
      </c>
      <c r="E449" t="s">
        <v>354</v>
      </c>
      <c r="F449">
        <v>42</v>
      </c>
      <c r="G449" t="str">
        <f t="shared" si="13"/>
        <v>Adult</v>
      </c>
      <c r="H449" t="s">
        <v>42</v>
      </c>
      <c r="I449" t="s">
        <v>80</v>
      </c>
      <c r="J449" t="s">
        <v>32</v>
      </c>
      <c r="K449" t="s">
        <v>38</v>
      </c>
      <c r="L449" t="s">
        <v>96</v>
      </c>
      <c r="M449">
        <v>2</v>
      </c>
      <c r="N449">
        <v>18668</v>
      </c>
      <c r="O449">
        <v>37336</v>
      </c>
      <c r="P449" t="s">
        <v>53</v>
      </c>
      <c r="Q449">
        <v>2</v>
      </c>
      <c r="R449">
        <v>5</v>
      </c>
      <c r="S449" t="s">
        <v>28</v>
      </c>
    </row>
    <row r="450" spans="1:19" x14ac:dyDescent="0.3">
      <c r="A450">
        <v>447</v>
      </c>
      <c r="B450" t="s">
        <v>795</v>
      </c>
      <c r="C450" s="6">
        <v>45738</v>
      </c>
      <c r="D450" s="2" t="str">
        <f t="shared" si="12"/>
        <v>March</v>
      </c>
      <c r="E450" t="s">
        <v>458</v>
      </c>
      <c r="F450">
        <v>45</v>
      </c>
      <c r="G450" t="str">
        <f t="shared" si="13"/>
        <v>Adult</v>
      </c>
      <c r="H450" t="s">
        <v>22</v>
      </c>
      <c r="I450" t="s">
        <v>37</v>
      </c>
      <c r="J450" t="s">
        <v>32</v>
      </c>
      <c r="K450" t="s">
        <v>33</v>
      </c>
      <c r="L450" t="s">
        <v>173</v>
      </c>
      <c r="M450">
        <v>6</v>
      </c>
      <c r="N450">
        <v>11793</v>
      </c>
      <c r="O450">
        <v>70758</v>
      </c>
      <c r="P450" t="s">
        <v>61</v>
      </c>
      <c r="Q450">
        <v>10</v>
      </c>
      <c r="R450">
        <v>2</v>
      </c>
      <c r="S450" t="s">
        <v>28</v>
      </c>
    </row>
    <row r="451" spans="1:19" x14ac:dyDescent="0.3">
      <c r="A451">
        <v>448</v>
      </c>
      <c r="B451" t="s">
        <v>796</v>
      </c>
      <c r="C451" s="6">
        <v>45739</v>
      </c>
      <c r="D451" s="2" t="str">
        <f t="shared" si="12"/>
        <v>March</v>
      </c>
      <c r="E451" t="s">
        <v>428</v>
      </c>
      <c r="F451">
        <v>27</v>
      </c>
      <c r="G451" t="str">
        <f t="shared" si="13"/>
        <v>Teenager</v>
      </c>
      <c r="H451" t="s">
        <v>22</v>
      </c>
      <c r="I451" t="s">
        <v>31</v>
      </c>
      <c r="J451" t="s">
        <v>50</v>
      </c>
      <c r="K451" t="s">
        <v>44</v>
      </c>
      <c r="L451" t="s">
        <v>224</v>
      </c>
      <c r="M451">
        <v>1</v>
      </c>
      <c r="N451">
        <v>29123</v>
      </c>
      <c r="O451">
        <v>29123</v>
      </c>
      <c r="P451" t="s">
        <v>53</v>
      </c>
      <c r="Q451">
        <v>6</v>
      </c>
      <c r="R451">
        <v>1</v>
      </c>
      <c r="S451" t="s">
        <v>46</v>
      </c>
    </row>
    <row r="452" spans="1:19" x14ac:dyDescent="0.3">
      <c r="A452">
        <v>449</v>
      </c>
      <c r="B452" t="s">
        <v>797</v>
      </c>
      <c r="C452" s="6">
        <v>45740</v>
      </c>
      <c r="D452" s="2" t="str">
        <f t="shared" ref="D452:D515" si="14">TEXT(C452,"mmmm")</f>
        <v>March</v>
      </c>
      <c r="E452" t="s">
        <v>798</v>
      </c>
      <c r="F452">
        <v>59</v>
      </c>
      <c r="G452" t="str">
        <f t="shared" ref="G452:G515" si="15">IF(F452&gt;=50,"Senior",IF(F452&gt;=30,"Adult","Teenager"))</f>
        <v>Senior</v>
      </c>
      <c r="H452" t="s">
        <v>42</v>
      </c>
      <c r="I452" t="s">
        <v>31</v>
      </c>
      <c r="J452" t="s">
        <v>32</v>
      </c>
      <c r="K452" t="s">
        <v>51</v>
      </c>
      <c r="L452" t="s">
        <v>111</v>
      </c>
      <c r="M452">
        <v>4</v>
      </c>
      <c r="N452">
        <v>371</v>
      </c>
      <c r="O452">
        <v>1484</v>
      </c>
      <c r="P452" t="s">
        <v>61</v>
      </c>
      <c r="Q452">
        <v>7</v>
      </c>
      <c r="R452">
        <v>2</v>
      </c>
      <c r="S452" t="s">
        <v>28</v>
      </c>
    </row>
    <row r="453" spans="1:19" x14ac:dyDescent="0.3">
      <c r="A453">
        <v>450</v>
      </c>
      <c r="B453" t="s">
        <v>799</v>
      </c>
      <c r="C453" s="6">
        <v>45741</v>
      </c>
      <c r="D453" s="2" t="str">
        <f t="shared" si="14"/>
        <v>March</v>
      </c>
      <c r="E453" t="s">
        <v>76</v>
      </c>
      <c r="F453">
        <v>28</v>
      </c>
      <c r="G453" t="str">
        <f t="shared" si="15"/>
        <v>Teenager</v>
      </c>
      <c r="H453" t="s">
        <v>42</v>
      </c>
      <c r="I453" t="s">
        <v>31</v>
      </c>
      <c r="J453" t="s">
        <v>50</v>
      </c>
      <c r="K453" t="s">
        <v>25</v>
      </c>
      <c r="L453" t="s">
        <v>77</v>
      </c>
      <c r="M453">
        <v>6</v>
      </c>
      <c r="N453">
        <v>15568</v>
      </c>
      <c r="O453">
        <v>93408</v>
      </c>
      <c r="P453" t="s">
        <v>99</v>
      </c>
      <c r="Q453">
        <v>1</v>
      </c>
      <c r="R453">
        <v>1</v>
      </c>
      <c r="S453" t="s">
        <v>46</v>
      </c>
    </row>
    <row r="454" spans="1:19" x14ac:dyDescent="0.3">
      <c r="A454">
        <v>451</v>
      </c>
      <c r="B454" t="s">
        <v>800</v>
      </c>
      <c r="C454" s="6">
        <v>45742</v>
      </c>
      <c r="D454" s="2" t="str">
        <f t="shared" si="14"/>
        <v>March</v>
      </c>
      <c r="E454" t="s">
        <v>231</v>
      </c>
      <c r="F454">
        <v>18</v>
      </c>
      <c r="G454" t="str">
        <f t="shared" si="15"/>
        <v>Teenager</v>
      </c>
      <c r="H454" t="s">
        <v>22</v>
      </c>
      <c r="I454" t="s">
        <v>43</v>
      </c>
      <c r="J454" t="s">
        <v>32</v>
      </c>
      <c r="K454" t="s">
        <v>38</v>
      </c>
      <c r="L454" t="s">
        <v>81</v>
      </c>
      <c r="M454">
        <v>2</v>
      </c>
      <c r="N454">
        <v>34975</v>
      </c>
      <c r="O454">
        <v>69950</v>
      </c>
      <c r="P454" t="s">
        <v>53</v>
      </c>
      <c r="Q454">
        <v>4</v>
      </c>
      <c r="R454">
        <v>3</v>
      </c>
      <c r="S454" t="s">
        <v>28</v>
      </c>
    </row>
    <row r="455" spans="1:19" x14ac:dyDescent="0.3">
      <c r="A455">
        <v>452</v>
      </c>
      <c r="B455" t="s">
        <v>801</v>
      </c>
      <c r="C455" s="6">
        <v>45743</v>
      </c>
      <c r="D455" s="2" t="str">
        <f t="shared" si="14"/>
        <v>March</v>
      </c>
      <c r="E455" t="s">
        <v>524</v>
      </c>
      <c r="F455">
        <v>30</v>
      </c>
      <c r="G455" t="str">
        <f t="shared" si="15"/>
        <v>Adult</v>
      </c>
      <c r="H455" t="s">
        <v>22</v>
      </c>
      <c r="I455" t="s">
        <v>64</v>
      </c>
      <c r="J455" t="s">
        <v>32</v>
      </c>
      <c r="K455" t="s">
        <v>33</v>
      </c>
      <c r="L455" t="s">
        <v>173</v>
      </c>
      <c r="M455">
        <v>6</v>
      </c>
      <c r="N455">
        <v>2271</v>
      </c>
      <c r="O455">
        <v>13626</v>
      </c>
      <c r="P455" t="s">
        <v>116</v>
      </c>
      <c r="Q455">
        <v>4</v>
      </c>
      <c r="R455">
        <v>4</v>
      </c>
      <c r="S455" t="s">
        <v>28</v>
      </c>
    </row>
    <row r="456" spans="1:19" x14ac:dyDescent="0.3">
      <c r="A456">
        <v>453</v>
      </c>
      <c r="B456" t="s">
        <v>802</v>
      </c>
      <c r="C456" s="6">
        <v>45744</v>
      </c>
      <c r="D456" s="2" t="str">
        <f t="shared" si="14"/>
        <v>March</v>
      </c>
      <c r="E456" t="s">
        <v>543</v>
      </c>
      <c r="F456">
        <v>54</v>
      </c>
      <c r="G456" t="str">
        <f t="shared" si="15"/>
        <v>Senior</v>
      </c>
      <c r="H456" t="s">
        <v>42</v>
      </c>
      <c r="I456" t="s">
        <v>31</v>
      </c>
      <c r="J456" t="s">
        <v>32</v>
      </c>
      <c r="K456" t="s">
        <v>25</v>
      </c>
      <c r="L456" t="s">
        <v>26</v>
      </c>
      <c r="M456">
        <v>1</v>
      </c>
      <c r="N456">
        <v>26315</v>
      </c>
      <c r="O456">
        <v>26315</v>
      </c>
      <c r="P456" t="s">
        <v>99</v>
      </c>
      <c r="Q456">
        <v>6</v>
      </c>
      <c r="R456">
        <v>5</v>
      </c>
      <c r="S456" t="s">
        <v>46</v>
      </c>
    </row>
    <row r="457" spans="1:19" x14ac:dyDescent="0.3">
      <c r="A457">
        <v>454</v>
      </c>
      <c r="B457" t="s">
        <v>803</v>
      </c>
      <c r="C457" s="6">
        <v>45745</v>
      </c>
      <c r="D457" s="2" t="str">
        <f t="shared" si="14"/>
        <v>March</v>
      </c>
      <c r="E457" t="s">
        <v>804</v>
      </c>
      <c r="F457">
        <v>31</v>
      </c>
      <c r="G457" t="str">
        <f t="shared" si="15"/>
        <v>Adult</v>
      </c>
      <c r="H457" t="s">
        <v>22</v>
      </c>
      <c r="I457" t="s">
        <v>80</v>
      </c>
      <c r="J457" t="s">
        <v>32</v>
      </c>
      <c r="K457" t="s">
        <v>25</v>
      </c>
      <c r="L457" t="s">
        <v>94</v>
      </c>
      <c r="M457">
        <v>3</v>
      </c>
      <c r="N457">
        <v>5257</v>
      </c>
      <c r="O457">
        <v>15771</v>
      </c>
      <c r="P457" t="s">
        <v>53</v>
      </c>
      <c r="Q457">
        <v>2</v>
      </c>
      <c r="R457">
        <v>5</v>
      </c>
      <c r="S457" t="s">
        <v>46</v>
      </c>
    </row>
    <row r="458" spans="1:19" x14ac:dyDescent="0.3">
      <c r="A458">
        <v>455</v>
      </c>
      <c r="B458" t="s">
        <v>805</v>
      </c>
      <c r="C458" s="6">
        <v>45746</v>
      </c>
      <c r="D458" s="2" t="str">
        <f t="shared" si="14"/>
        <v>March</v>
      </c>
      <c r="E458" t="s">
        <v>785</v>
      </c>
      <c r="F458">
        <v>43</v>
      </c>
      <c r="G458" t="str">
        <f t="shared" si="15"/>
        <v>Adult</v>
      </c>
      <c r="H458" t="s">
        <v>42</v>
      </c>
      <c r="I458" t="s">
        <v>64</v>
      </c>
      <c r="J458" t="s">
        <v>65</v>
      </c>
      <c r="K458" t="s">
        <v>44</v>
      </c>
      <c r="L458" t="s">
        <v>178</v>
      </c>
      <c r="M458">
        <v>9</v>
      </c>
      <c r="N458">
        <v>9052</v>
      </c>
      <c r="O458">
        <v>81468</v>
      </c>
      <c r="P458" t="s">
        <v>53</v>
      </c>
      <c r="Q458">
        <v>1</v>
      </c>
      <c r="R458">
        <v>3</v>
      </c>
      <c r="S458" t="s">
        <v>46</v>
      </c>
    </row>
    <row r="459" spans="1:19" x14ac:dyDescent="0.3">
      <c r="A459">
        <v>456</v>
      </c>
      <c r="B459" t="s">
        <v>806</v>
      </c>
      <c r="C459" s="6">
        <v>45747</v>
      </c>
      <c r="D459" s="2" t="str">
        <f t="shared" si="14"/>
        <v>March</v>
      </c>
      <c r="E459" t="s">
        <v>362</v>
      </c>
      <c r="F459">
        <v>32</v>
      </c>
      <c r="G459" t="str">
        <f t="shared" si="15"/>
        <v>Adult</v>
      </c>
      <c r="H459" t="s">
        <v>22</v>
      </c>
      <c r="I459" t="s">
        <v>43</v>
      </c>
      <c r="J459" t="s">
        <v>32</v>
      </c>
      <c r="K459" t="s">
        <v>44</v>
      </c>
      <c r="L459" t="s">
        <v>121</v>
      </c>
      <c r="M459">
        <v>9</v>
      </c>
      <c r="N459">
        <v>16252</v>
      </c>
      <c r="O459">
        <v>146268</v>
      </c>
      <c r="P459" t="s">
        <v>27</v>
      </c>
      <c r="Q459">
        <v>10</v>
      </c>
      <c r="R459">
        <v>2</v>
      </c>
      <c r="S459" t="s">
        <v>28</v>
      </c>
    </row>
    <row r="460" spans="1:19" x14ac:dyDescent="0.3">
      <c r="A460">
        <v>457</v>
      </c>
      <c r="B460" t="s">
        <v>807</v>
      </c>
      <c r="C460" s="6">
        <v>45748</v>
      </c>
      <c r="D460" s="2" t="str">
        <f t="shared" si="14"/>
        <v>April</v>
      </c>
      <c r="E460" t="s">
        <v>311</v>
      </c>
      <c r="F460">
        <v>38</v>
      </c>
      <c r="G460" t="str">
        <f t="shared" si="15"/>
        <v>Adult</v>
      </c>
      <c r="H460" t="s">
        <v>42</v>
      </c>
      <c r="I460" t="s">
        <v>37</v>
      </c>
      <c r="J460" t="s">
        <v>32</v>
      </c>
      <c r="K460" t="s">
        <v>44</v>
      </c>
      <c r="L460" t="s">
        <v>224</v>
      </c>
      <c r="M460">
        <v>9</v>
      </c>
      <c r="N460">
        <v>46090</v>
      </c>
      <c r="O460">
        <v>414810</v>
      </c>
      <c r="P460" t="s">
        <v>61</v>
      </c>
      <c r="Q460">
        <v>5</v>
      </c>
      <c r="R460">
        <v>5</v>
      </c>
      <c r="S460" t="s">
        <v>46</v>
      </c>
    </row>
    <row r="461" spans="1:19" x14ac:dyDescent="0.3">
      <c r="A461">
        <v>458</v>
      </c>
      <c r="B461" t="s">
        <v>808</v>
      </c>
      <c r="C461" s="6">
        <v>45749</v>
      </c>
      <c r="D461" s="2" t="str">
        <f t="shared" si="14"/>
        <v>April</v>
      </c>
      <c r="E461" t="s">
        <v>115</v>
      </c>
      <c r="F461">
        <v>47</v>
      </c>
      <c r="G461" t="str">
        <f t="shared" si="15"/>
        <v>Adult</v>
      </c>
      <c r="H461" t="s">
        <v>42</v>
      </c>
      <c r="I461" t="s">
        <v>23</v>
      </c>
      <c r="J461" t="s">
        <v>50</v>
      </c>
      <c r="K461" t="s">
        <v>44</v>
      </c>
      <c r="L461" t="s">
        <v>224</v>
      </c>
      <c r="M461">
        <v>10</v>
      </c>
      <c r="N461">
        <v>25669</v>
      </c>
      <c r="O461">
        <v>256690</v>
      </c>
      <c r="P461" t="s">
        <v>61</v>
      </c>
      <c r="Q461">
        <v>7</v>
      </c>
      <c r="R461">
        <v>5</v>
      </c>
      <c r="S461" t="s">
        <v>46</v>
      </c>
    </row>
    <row r="462" spans="1:19" x14ac:dyDescent="0.3">
      <c r="A462">
        <v>459</v>
      </c>
      <c r="B462" t="s">
        <v>809</v>
      </c>
      <c r="C462" s="6">
        <v>45750</v>
      </c>
      <c r="D462" s="2" t="str">
        <f t="shared" si="14"/>
        <v>April</v>
      </c>
      <c r="E462" t="s">
        <v>538</v>
      </c>
      <c r="F462">
        <v>45</v>
      </c>
      <c r="G462" t="str">
        <f t="shared" si="15"/>
        <v>Adult</v>
      </c>
      <c r="H462" t="s">
        <v>42</v>
      </c>
      <c r="I462" t="s">
        <v>43</v>
      </c>
      <c r="J462" t="s">
        <v>65</v>
      </c>
      <c r="K462" t="s">
        <v>51</v>
      </c>
      <c r="L462" t="s">
        <v>52</v>
      </c>
      <c r="M462">
        <v>5</v>
      </c>
      <c r="N462">
        <v>973</v>
      </c>
      <c r="O462">
        <v>4865</v>
      </c>
      <c r="P462" t="s">
        <v>116</v>
      </c>
      <c r="Q462">
        <v>10</v>
      </c>
      <c r="R462">
        <v>2</v>
      </c>
      <c r="S462" t="s">
        <v>46</v>
      </c>
    </row>
    <row r="463" spans="1:19" x14ac:dyDescent="0.3">
      <c r="A463">
        <v>460</v>
      </c>
      <c r="B463" t="s">
        <v>810</v>
      </c>
      <c r="C463" s="6">
        <v>45751</v>
      </c>
      <c r="D463" s="2" t="str">
        <f t="shared" si="14"/>
        <v>April</v>
      </c>
      <c r="E463" t="s">
        <v>811</v>
      </c>
      <c r="F463">
        <v>40</v>
      </c>
      <c r="G463" t="str">
        <f t="shared" si="15"/>
        <v>Adult</v>
      </c>
      <c r="H463" t="s">
        <v>42</v>
      </c>
      <c r="I463" t="s">
        <v>43</v>
      </c>
      <c r="J463" t="s">
        <v>50</v>
      </c>
      <c r="K463" t="s">
        <v>33</v>
      </c>
      <c r="L463" t="s">
        <v>34</v>
      </c>
      <c r="M463">
        <v>6</v>
      </c>
      <c r="N463">
        <v>7620</v>
      </c>
      <c r="O463">
        <v>45720</v>
      </c>
      <c r="P463" t="s">
        <v>53</v>
      </c>
      <c r="Q463">
        <v>4</v>
      </c>
      <c r="R463">
        <v>5</v>
      </c>
      <c r="S463" t="s">
        <v>46</v>
      </c>
    </row>
    <row r="464" spans="1:19" x14ac:dyDescent="0.3">
      <c r="A464">
        <v>461</v>
      </c>
      <c r="B464" t="s">
        <v>812</v>
      </c>
      <c r="C464" s="6">
        <v>45752</v>
      </c>
      <c r="D464" s="2" t="str">
        <f t="shared" si="14"/>
        <v>April</v>
      </c>
      <c r="E464" t="s">
        <v>647</v>
      </c>
      <c r="F464">
        <v>52</v>
      </c>
      <c r="G464" t="str">
        <f t="shared" si="15"/>
        <v>Senior</v>
      </c>
      <c r="H464" t="s">
        <v>22</v>
      </c>
      <c r="I464" t="s">
        <v>37</v>
      </c>
      <c r="J464" t="s">
        <v>32</v>
      </c>
      <c r="K464" t="s">
        <v>51</v>
      </c>
      <c r="L464" t="s">
        <v>60</v>
      </c>
      <c r="M464">
        <v>9</v>
      </c>
      <c r="N464">
        <v>1235</v>
      </c>
      <c r="O464">
        <v>11115</v>
      </c>
      <c r="P464" t="s">
        <v>116</v>
      </c>
      <c r="Q464">
        <v>2</v>
      </c>
      <c r="R464">
        <v>5</v>
      </c>
      <c r="S464" t="s">
        <v>28</v>
      </c>
    </row>
    <row r="465" spans="1:19" x14ac:dyDescent="0.3">
      <c r="A465">
        <v>462</v>
      </c>
      <c r="B465" t="s">
        <v>813</v>
      </c>
      <c r="C465" s="6">
        <v>45753</v>
      </c>
      <c r="D465" s="2" t="str">
        <f t="shared" si="14"/>
        <v>April</v>
      </c>
      <c r="E465" t="s">
        <v>669</v>
      </c>
      <c r="F465">
        <v>36</v>
      </c>
      <c r="G465" t="str">
        <f t="shared" si="15"/>
        <v>Adult</v>
      </c>
      <c r="H465" t="s">
        <v>22</v>
      </c>
      <c r="I465" t="s">
        <v>70</v>
      </c>
      <c r="J465" t="s">
        <v>65</v>
      </c>
      <c r="K465" t="s">
        <v>33</v>
      </c>
      <c r="L465" t="s">
        <v>173</v>
      </c>
      <c r="M465">
        <v>5</v>
      </c>
      <c r="N465">
        <v>10321</v>
      </c>
      <c r="O465">
        <v>51605</v>
      </c>
      <c r="P465" t="s">
        <v>116</v>
      </c>
      <c r="Q465">
        <v>3</v>
      </c>
      <c r="R465">
        <v>5</v>
      </c>
      <c r="S465" t="s">
        <v>28</v>
      </c>
    </row>
    <row r="466" spans="1:19" x14ac:dyDescent="0.3">
      <c r="A466">
        <v>463</v>
      </c>
      <c r="B466" t="s">
        <v>814</v>
      </c>
      <c r="C466" s="6">
        <v>45754</v>
      </c>
      <c r="D466" s="2" t="str">
        <f t="shared" si="14"/>
        <v>April</v>
      </c>
      <c r="E466" t="s">
        <v>132</v>
      </c>
      <c r="F466">
        <v>28</v>
      </c>
      <c r="G466" t="str">
        <f t="shared" si="15"/>
        <v>Teenager</v>
      </c>
      <c r="H466" t="s">
        <v>22</v>
      </c>
      <c r="I466" t="s">
        <v>37</v>
      </c>
      <c r="J466" t="s">
        <v>65</v>
      </c>
      <c r="K466" t="s">
        <v>38</v>
      </c>
      <c r="L466" t="s">
        <v>39</v>
      </c>
      <c r="M466">
        <v>6</v>
      </c>
      <c r="N466">
        <v>42442</v>
      </c>
      <c r="O466">
        <v>254652</v>
      </c>
      <c r="P466" t="s">
        <v>116</v>
      </c>
      <c r="Q466">
        <v>9</v>
      </c>
      <c r="R466">
        <v>1</v>
      </c>
      <c r="S466" t="s">
        <v>46</v>
      </c>
    </row>
    <row r="467" spans="1:19" x14ac:dyDescent="0.3">
      <c r="A467">
        <v>464</v>
      </c>
      <c r="B467" t="s">
        <v>815</v>
      </c>
      <c r="C467" s="6">
        <v>45755</v>
      </c>
      <c r="D467" s="2" t="str">
        <f t="shared" si="14"/>
        <v>April</v>
      </c>
      <c r="E467" t="s">
        <v>519</v>
      </c>
      <c r="F467">
        <v>33</v>
      </c>
      <c r="G467" t="str">
        <f t="shared" si="15"/>
        <v>Adult</v>
      </c>
      <c r="H467" t="s">
        <v>22</v>
      </c>
      <c r="I467" t="s">
        <v>31</v>
      </c>
      <c r="J467" t="s">
        <v>50</v>
      </c>
      <c r="K467" t="s">
        <v>38</v>
      </c>
      <c r="L467" t="s">
        <v>39</v>
      </c>
      <c r="M467">
        <v>8</v>
      </c>
      <c r="N467">
        <v>40880</v>
      </c>
      <c r="O467">
        <v>327040</v>
      </c>
      <c r="P467" t="s">
        <v>53</v>
      </c>
      <c r="Q467">
        <v>3</v>
      </c>
      <c r="R467">
        <v>1</v>
      </c>
      <c r="S467" t="s">
        <v>46</v>
      </c>
    </row>
    <row r="468" spans="1:19" x14ac:dyDescent="0.3">
      <c r="A468">
        <v>465</v>
      </c>
      <c r="B468" t="s">
        <v>816</v>
      </c>
      <c r="C468" s="6">
        <v>45756</v>
      </c>
      <c r="D468" s="2" t="str">
        <f t="shared" si="14"/>
        <v>April</v>
      </c>
      <c r="E468" t="s">
        <v>248</v>
      </c>
      <c r="F468">
        <v>56</v>
      </c>
      <c r="G468" t="str">
        <f t="shared" si="15"/>
        <v>Senior</v>
      </c>
      <c r="H468" t="s">
        <v>42</v>
      </c>
      <c r="I468" t="s">
        <v>43</v>
      </c>
      <c r="J468" t="s">
        <v>24</v>
      </c>
      <c r="K468" t="s">
        <v>51</v>
      </c>
      <c r="L468" t="s">
        <v>86</v>
      </c>
      <c r="M468">
        <v>7</v>
      </c>
      <c r="N468">
        <v>870</v>
      </c>
      <c r="O468">
        <v>6090</v>
      </c>
      <c r="P468" t="s">
        <v>99</v>
      </c>
      <c r="Q468">
        <v>3</v>
      </c>
      <c r="R468">
        <v>3</v>
      </c>
      <c r="S468" t="s">
        <v>46</v>
      </c>
    </row>
    <row r="469" spans="1:19" x14ac:dyDescent="0.3">
      <c r="A469">
        <v>466</v>
      </c>
      <c r="B469" t="s">
        <v>817</v>
      </c>
      <c r="C469" s="6">
        <v>45757</v>
      </c>
      <c r="D469" s="2" t="str">
        <f t="shared" si="14"/>
        <v>April</v>
      </c>
      <c r="E469" t="s">
        <v>763</v>
      </c>
      <c r="F469">
        <v>53</v>
      </c>
      <c r="G469" t="str">
        <f t="shared" si="15"/>
        <v>Senior</v>
      </c>
      <c r="H469" t="s">
        <v>42</v>
      </c>
      <c r="I469" t="s">
        <v>49</v>
      </c>
      <c r="J469" t="s">
        <v>50</v>
      </c>
      <c r="K469" t="s">
        <v>38</v>
      </c>
      <c r="L469" t="s">
        <v>71</v>
      </c>
      <c r="M469">
        <v>3</v>
      </c>
      <c r="N469">
        <v>40001</v>
      </c>
      <c r="O469">
        <v>120003</v>
      </c>
      <c r="P469" t="s">
        <v>27</v>
      </c>
      <c r="Q469">
        <v>3</v>
      </c>
      <c r="R469">
        <v>1</v>
      </c>
      <c r="S469" t="s">
        <v>46</v>
      </c>
    </row>
    <row r="470" spans="1:19" x14ac:dyDescent="0.3">
      <c r="A470">
        <v>467</v>
      </c>
      <c r="B470" t="s">
        <v>818</v>
      </c>
      <c r="C470" s="6">
        <v>45758</v>
      </c>
      <c r="D470" s="2" t="str">
        <f t="shared" si="14"/>
        <v>April</v>
      </c>
      <c r="E470" t="s">
        <v>600</v>
      </c>
      <c r="F470">
        <v>23</v>
      </c>
      <c r="G470" t="str">
        <f t="shared" si="15"/>
        <v>Teenager</v>
      </c>
      <c r="H470" t="s">
        <v>22</v>
      </c>
      <c r="I470" t="s">
        <v>102</v>
      </c>
      <c r="J470" t="s">
        <v>65</v>
      </c>
      <c r="K470" t="s">
        <v>51</v>
      </c>
      <c r="L470" t="s">
        <v>111</v>
      </c>
      <c r="M470">
        <v>5</v>
      </c>
      <c r="N470">
        <v>895</v>
      </c>
      <c r="O470">
        <v>4475</v>
      </c>
      <c r="P470" t="s">
        <v>116</v>
      </c>
      <c r="Q470">
        <v>2</v>
      </c>
      <c r="R470">
        <v>2</v>
      </c>
      <c r="S470" t="s">
        <v>46</v>
      </c>
    </row>
    <row r="471" spans="1:19" x14ac:dyDescent="0.3">
      <c r="A471">
        <v>468</v>
      </c>
      <c r="B471" t="s">
        <v>819</v>
      </c>
      <c r="C471" s="6">
        <v>45759</v>
      </c>
      <c r="D471" s="2" t="str">
        <f t="shared" si="14"/>
        <v>April</v>
      </c>
      <c r="E471" t="s">
        <v>143</v>
      </c>
      <c r="F471">
        <v>48</v>
      </c>
      <c r="G471" t="str">
        <f t="shared" si="15"/>
        <v>Adult</v>
      </c>
      <c r="H471" t="s">
        <v>42</v>
      </c>
      <c r="I471" t="s">
        <v>49</v>
      </c>
      <c r="J471" t="s">
        <v>32</v>
      </c>
      <c r="K471" t="s">
        <v>33</v>
      </c>
      <c r="L471" t="s">
        <v>34</v>
      </c>
      <c r="M471">
        <v>3</v>
      </c>
      <c r="N471">
        <v>12627</v>
      </c>
      <c r="O471">
        <v>37881</v>
      </c>
      <c r="P471" t="s">
        <v>99</v>
      </c>
      <c r="Q471">
        <v>1</v>
      </c>
      <c r="R471">
        <v>5</v>
      </c>
      <c r="S471" t="s">
        <v>28</v>
      </c>
    </row>
    <row r="472" spans="1:19" x14ac:dyDescent="0.3">
      <c r="A472">
        <v>469</v>
      </c>
      <c r="B472" t="s">
        <v>820</v>
      </c>
      <c r="C472" s="6">
        <v>45760</v>
      </c>
      <c r="D472" s="2" t="str">
        <f t="shared" si="14"/>
        <v>April</v>
      </c>
      <c r="E472" t="s">
        <v>821</v>
      </c>
      <c r="F472">
        <v>23</v>
      </c>
      <c r="G472" t="str">
        <f t="shared" si="15"/>
        <v>Teenager</v>
      </c>
      <c r="H472" t="s">
        <v>42</v>
      </c>
      <c r="I472" t="s">
        <v>43</v>
      </c>
      <c r="J472" t="s">
        <v>65</v>
      </c>
      <c r="K472" t="s">
        <v>33</v>
      </c>
      <c r="L472" t="s">
        <v>160</v>
      </c>
      <c r="M472">
        <v>9</v>
      </c>
      <c r="N472">
        <v>33400</v>
      </c>
      <c r="O472">
        <v>300600</v>
      </c>
      <c r="P472" t="s">
        <v>116</v>
      </c>
      <c r="Q472">
        <v>7</v>
      </c>
      <c r="R472">
        <v>1</v>
      </c>
      <c r="S472" t="s">
        <v>28</v>
      </c>
    </row>
    <row r="473" spans="1:19" x14ac:dyDescent="0.3">
      <c r="A473">
        <v>470</v>
      </c>
      <c r="B473" t="s">
        <v>822</v>
      </c>
      <c r="C473" s="6">
        <v>45761</v>
      </c>
      <c r="D473" s="2" t="str">
        <f t="shared" si="14"/>
        <v>April</v>
      </c>
      <c r="E473" t="s">
        <v>203</v>
      </c>
      <c r="F473">
        <v>40</v>
      </c>
      <c r="G473" t="str">
        <f t="shared" si="15"/>
        <v>Adult</v>
      </c>
      <c r="H473" t="s">
        <v>22</v>
      </c>
      <c r="I473" t="s">
        <v>31</v>
      </c>
      <c r="J473" t="s">
        <v>65</v>
      </c>
      <c r="K473" t="s">
        <v>44</v>
      </c>
      <c r="L473" t="s">
        <v>178</v>
      </c>
      <c r="M473">
        <v>10</v>
      </c>
      <c r="N473">
        <v>14218</v>
      </c>
      <c r="O473">
        <v>142180</v>
      </c>
      <c r="P473" t="s">
        <v>116</v>
      </c>
      <c r="Q473">
        <v>5</v>
      </c>
      <c r="R473">
        <v>2</v>
      </c>
      <c r="S473" t="s">
        <v>28</v>
      </c>
    </row>
    <row r="474" spans="1:19" x14ac:dyDescent="0.3">
      <c r="A474">
        <v>471</v>
      </c>
      <c r="B474" t="s">
        <v>823</v>
      </c>
      <c r="C474" s="6">
        <v>45762</v>
      </c>
      <c r="D474" s="2" t="str">
        <f t="shared" si="14"/>
        <v>April</v>
      </c>
      <c r="E474" t="s">
        <v>500</v>
      </c>
      <c r="F474">
        <v>36</v>
      </c>
      <c r="G474" t="str">
        <f t="shared" si="15"/>
        <v>Adult</v>
      </c>
      <c r="H474" t="s">
        <v>22</v>
      </c>
      <c r="I474" t="s">
        <v>31</v>
      </c>
      <c r="J474" t="s">
        <v>50</v>
      </c>
      <c r="K474" t="s">
        <v>38</v>
      </c>
      <c r="L474" t="s">
        <v>39</v>
      </c>
      <c r="M474">
        <v>9</v>
      </c>
      <c r="N474">
        <v>47440</v>
      </c>
      <c r="O474">
        <v>426960</v>
      </c>
      <c r="P474" t="s">
        <v>116</v>
      </c>
      <c r="Q474">
        <v>7</v>
      </c>
      <c r="R474">
        <v>4</v>
      </c>
      <c r="S474" t="s">
        <v>46</v>
      </c>
    </row>
    <row r="475" spans="1:19" x14ac:dyDescent="0.3">
      <c r="A475">
        <v>472</v>
      </c>
      <c r="B475" t="s">
        <v>824</v>
      </c>
      <c r="C475" s="6">
        <v>45763</v>
      </c>
      <c r="D475" s="2" t="str">
        <f t="shared" si="14"/>
        <v>April</v>
      </c>
      <c r="E475" t="s">
        <v>560</v>
      </c>
      <c r="F475">
        <v>38</v>
      </c>
      <c r="G475" t="str">
        <f t="shared" si="15"/>
        <v>Adult</v>
      </c>
      <c r="H475" t="s">
        <v>22</v>
      </c>
      <c r="I475" t="s">
        <v>49</v>
      </c>
      <c r="J475" t="s">
        <v>24</v>
      </c>
      <c r="K475" t="s">
        <v>51</v>
      </c>
      <c r="L475" t="s">
        <v>60</v>
      </c>
      <c r="M475">
        <v>5</v>
      </c>
      <c r="N475">
        <v>240</v>
      </c>
      <c r="O475">
        <v>1200</v>
      </c>
      <c r="P475" t="s">
        <v>27</v>
      </c>
      <c r="Q475">
        <v>6</v>
      </c>
      <c r="R475">
        <v>1</v>
      </c>
      <c r="S475" t="s">
        <v>46</v>
      </c>
    </row>
    <row r="476" spans="1:19" x14ac:dyDescent="0.3">
      <c r="A476">
        <v>473</v>
      </c>
      <c r="B476" t="s">
        <v>825</v>
      </c>
      <c r="C476" s="6">
        <v>45764</v>
      </c>
      <c r="D476" s="2" t="str">
        <f t="shared" si="14"/>
        <v>April</v>
      </c>
      <c r="E476" t="s">
        <v>826</v>
      </c>
      <c r="F476">
        <v>38</v>
      </c>
      <c r="G476" t="str">
        <f t="shared" si="15"/>
        <v>Adult</v>
      </c>
      <c r="H476" t="s">
        <v>22</v>
      </c>
      <c r="I476" t="s">
        <v>120</v>
      </c>
      <c r="J476" t="s">
        <v>65</v>
      </c>
      <c r="K476" t="s">
        <v>25</v>
      </c>
      <c r="L476" t="s">
        <v>189</v>
      </c>
      <c r="M476">
        <v>5</v>
      </c>
      <c r="N476">
        <v>15741</v>
      </c>
      <c r="O476">
        <v>78705</v>
      </c>
      <c r="P476" t="s">
        <v>53</v>
      </c>
      <c r="Q476">
        <v>8</v>
      </c>
      <c r="R476">
        <v>5</v>
      </c>
      <c r="S476" t="s">
        <v>28</v>
      </c>
    </row>
    <row r="477" spans="1:19" x14ac:dyDescent="0.3">
      <c r="A477">
        <v>474</v>
      </c>
      <c r="B477" t="s">
        <v>827</v>
      </c>
      <c r="C477" s="6">
        <v>45765</v>
      </c>
      <c r="D477" s="2" t="str">
        <f t="shared" si="14"/>
        <v>April</v>
      </c>
      <c r="E477" t="s">
        <v>496</v>
      </c>
      <c r="F477">
        <v>47</v>
      </c>
      <c r="G477" t="str">
        <f t="shared" si="15"/>
        <v>Adult</v>
      </c>
      <c r="H477" t="s">
        <v>42</v>
      </c>
      <c r="I477" t="s">
        <v>70</v>
      </c>
      <c r="J477" t="s">
        <v>65</v>
      </c>
      <c r="K477" t="s">
        <v>33</v>
      </c>
      <c r="L477" t="s">
        <v>89</v>
      </c>
      <c r="M477">
        <v>10</v>
      </c>
      <c r="N477">
        <v>26727</v>
      </c>
      <c r="O477">
        <v>267270</v>
      </c>
      <c r="P477" t="s">
        <v>99</v>
      </c>
      <c r="Q477">
        <v>2</v>
      </c>
      <c r="R477">
        <v>2</v>
      </c>
      <c r="S477" t="s">
        <v>28</v>
      </c>
    </row>
    <row r="478" spans="1:19" x14ac:dyDescent="0.3">
      <c r="A478">
        <v>475</v>
      </c>
      <c r="B478" t="s">
        <v>828</v>
      </c>
      <c r="C478" s="6">
        <v>45766</v>
      </c>
      <c r="D478" s="2" t="str">
        <f t="shared" si="14"/>
        <v>April</v>
      </c>
      <c r="E478" t="s">
        <v>208</v>
      </c>
      <c r="F478">
        <v>41</v>
      </c>
      <c r="G478" t="str">
        <f t="shared" si="15"/>
        <v>Adult</v>
      </c>
      <c r="H478" t="s">
        <v>22</v>
      </c>
      <c r="I478" t="s">
        <v>102</v>
      </c>
      <c r="J478" t="s">
        <v>65</v>
      </c>
      <c r="K478" t="s">
        <v>38</v>
      </c>
      <c r="L478" t="s">
        <v>39</v>
      </c>
      <c r="M478">
        <v>2</v>
      </c>
      <c r="N478">
        <v>23970</v>
      </c>
      <c r="O478">
        <v>47940</v>
      </c>
      <c r="P478" t="s">
        <v>61</v>
      </c>
      <c r="Q478">
        <v>6</v>
      </c>
      <c r="R478">
        <v>1</v>
      </c>
      <c r="S478" t="s">
        <v>46</v>
      </c>
    </row>
    <row r="479" spans="1:19" x14ac:dyDescent="0.3">
      <c r="A479">
        <v>476</v>
      </c>
      <c r="B479" t="s">
        <v>829</v>
      </c>
      <c r="C479" s="6">
        <v>45767</v>
      </c>
      <c r="D479" s="2" t="str">
        <f t="shared" si="14"/>
        <v>April</v>
      </c>
      <c r="E479" t="s">
        <v>821</v>
      </c>
      <c r="F479">
        <v>58</v>
      </c>
      <c r="G479" t="str">
        <f t="shared" si="15"/>
        <v>Senior</v>
      </c>
      <c r="H479" t="s">
        <v>22</v>
      </c>
      <c r="I479" t="s">
        <v>120</v>
      </c>
      <c r="J479" t="s">
        <v>24</v>
      </c>
      <c r="K479" t="s">
        <v>38</v>
      </c>
      <c r="L479" t="s">
        <v>39</v>
      </c>
      <c r="M479">
        <v>2</v>
      </c>
      <c r="N479">
        <v>42773</v>
      </c>
      <c r="O479">
        <v>85546</v>
      </c>
      <c r="P479" t="s">
        <v>99</v>
      </c>
      <c r="Q479">
        <v>10</v>
      </c>
      <c r="R479">
        <v>4</v>
      </c>
      <c r="S479" t="s">
        <v>46</v>
      </c>
    </row>
    <row r="480" spans="1:19" x14ac:dyDescent="0.3">
      <c r="A480">
        <v>477</v>
      </c>
      <c r="B480" t="s">
        <v>830</v>
      </c>
      <c r="C480" s="6">
        <v>45768</v>
      </c>
      <c r="D480" s="2" t="str">
        <f t="shared" si="14"/>
        <v>April</v>
      </c>
      <c r="E480" t="s">
        <v>831</v>
      </c>
      <c r="F480">
        <v>58</v>
      </c>
      <c r="G480" t="str">
        <f t="shared" si="15"/>
        <v>Senior</v>
      </c>
      <c r="H480" t="s">
        <v>22</v>
      </c>
      <c r="I480" t="s">
        <v>43</v>
      </c>
      <c r="J480" t="s">
        <v>32</v>
      </c>
      <c r="K480" t="s">
        <v>33</v>
      </c>
      <c r="L480" t="s">
        <v>160</v>
      </c>
      <c r="M480">
        <v>4</v>
      </c>
      <c r="N480">
        <v>34464</v>
      </c>
      <c r="O480">
        <v>137856</v>
      </c>
      <c r="P480" t="s">
        <v>99</v>
      </c>
      <c r="Q480">
        <v>2</v>
      </c>
      <c r="R480">
        <v>5</v>
      </c>
      <c r="S480" t="s">
        <v>28</v>
      </c>
    </row>
    <row r="481" spans="1:19" x14ac:dyDescent="0.3">
      <c r="A481">
        <v>478</v>
      </c>
      <c r="B481" t="s">
        <v>832</v>
      </c>
      <c r="C481" s="6">
        <v>45769</v>
      </c>
      <c r="D481" s="2" t="str">
        <f t="shared" si="14"/>
        <v>April</v>
      </c>
      <c r="E481" t="s">
        <v>833</v>
      </c>
      <c r="F481">
        <v>52</v>
      </c>
      <c r="G481" t="str">
        <f t="shared" si="15"/>
        <v>Senior</v>
      </c>
      <c r="H481" t="s">
        <v>42</v>
      </c>
      <c r="I481" t="s">
        <v>49</v>
      </c>
      <c r="J481" t="s">
        <v>24</v>
      </c>
      <c r="K481" t="s">
        <v>51</v>
      </c>
      <c r="L481" t="s">
        <v>111</v>
      </c>
      <c r="M481">
        <v>4</v>
      </c>
      <c r="N481">
        <v>86</v>
      </c>
      <c r="O481">
        <v>344</v>
      </c>
      <c r="P481" t="s">
        <v>99</v>
      </c>
      <c r="Q481">
        <v>4</v>
      </c>
      <c r="R481">
        <v>2</v>
      </c>
      <c r="S481" t="s">
        <v>28</v>
      </c>
    </row>
    <row r="482" spans="1:19" x14ac:dyDescent="0.3">
      <c r="A482">
        <v>479</v>
      </c>
      <c r="B482" t="s">
        <v>834</v>
      </c>
      <c r="C482" s="6">
        <v>45770</v>
      </c>
      <c r="D482" s="2" t="str">
        <f t="shared" si="14"/>
        <v>April</v>
      </c>
      <c r="E482" t="s">
        <v>137</v>
      </c>
      <c r="F482">
        <v>54</v>
      </c>
      <c r="G482" t="str">
        <f t="shared" si="15"/>
        <v>Senior</v>
      </c>
      <c r="H482" t="s">
        <v>22</v>
      </c>
      <c r="I482" t="s">
        <v>49</v>
      </c>
      <c r="J482" t="s">
        <v>65</v>
      </c>
      <c r="K482" t="s">
        <v>33</v>
      </c>
      <c r="L482" t="s">
        <v>153</v>
      </c>
      <c r="M482">
        <v>2</v>
      </c>
      <c r="N482">
        <v>24143</v>
      </c>
      <c r="O482">
        <v>48286</v>
      </c>
      <c r="P482" t="s">
        <v>61</v>
      </c>
      <c r="Q482">
        <v>6</v>
      </c>
      <c r="R482">
        <v>1</v>
      </c>
      <c r="S482" t="s">
        <v>28</v>
      </c>
    </row>
    <row r="483" spans="1:19" x14ac:dyDescent="0.3">
      <c r="A483">
        <v>480</v>
      </c>
      <c r="B483" t="s">
        <v>835</v>
      </c>
      <c r="C483" s="6">
        <v>45771</v>
      </c>
      <c r="D483" s="2" t="str">
        <f t="shared" si="14"/>
        <v>April</v>
      </c>
      <c r="E483" t="s">
        <v>836</v>
      </c>
      <c r="F483">
        <v>57</v>
      </c>
      <c r="G483" t="str">
        <f t="shared" si="15"/>
        <v>Senior</v>
      </c>
      <c r="H483" t="s">
        <v>42</v>
      </c>
      <c r="I483" t="s">
        <v>49</v>
      </c>
      <c r="J483" t="s">
        <v>24</v>
      </c>
      <c r="K483" t="s">
        <v>33</v>
      </c>
      <c r="L483" t="s">
        <v>89</v>
      </c>
      <c r="M483">
        <v>6</v>
      </c>
      <c r="N483">
        <v>38722</v>
      </c>
      <c r="O483">
        <v>232332</v>
      </c>
      <c r="P483" t="s">
        <v>116</v>
      </c>
      <c r="Q483">
        <v>2</v>
      </c>
      <c r="R483">
        <v>1</v>
      </c>
      <c r="S483" t="s">
        <v>46</v>
      </c>
    </row>
    <row r="484" spans="1:19" x14ac:dyDescent="0.3">
      <c r="A484">
        <v>481</v>
      </c>
      <c r="B484" t="s">
        <v>837</v>
      </c>
      <c r="C484" s="6">
        <v>45772</v>
      </c>
      <c r="D484" s="2" t="str">
        <f t="shared" si="14"/>
        <v>April</v>
      </c>
      <c r="E484" t="s">
        <v>41</v>
      </c>
      <c r="F484">
        <v>37</v>
      </c>
      <c r="G484" t="str">
        <f t="shared" si="15"/>
        <v>Adult</v>
      </c>
      <c r="H484" t="s">
        <v>42</v>
      </c>
      <c r="I484" t="s">
        <v>37</v>
      </c>
      <c r="J484" t="s">
        <v>65</v>
      </c>
      <c r="K484" t="s">
        <v>38</v>
      </c>
      <c r="L484" t="s">
        <v>81</v>
      </c>
      <c r="M484">
        <v>3</v>
      </c>
      <c r="N484">
        <v>26763</v>
      </c>
      <c r="O484">
        <v>80289</v>
      </c>
      <c r="P484" t="s">
        <v>99</v>
      </c>
      <c r="Q484">
        <v>7</v>
      </c>
      <c r="R484">
        <v>5</v>
      </c>
      <c r="S484" t="s">
        <v>28</v>
      </c>
    </row>
    <row r="485" spans="1:19" x14ac:dyDescent="0.3">
      <c r="A485">
        <v>482</v>
      </c>
      <c r="B485" t="s">
        <v>838</v>
      </c>
      <c r="C485" s="6">
        <v>45773</v>
      </c>
      <c r="D485" s="2" t="str">
        <f t="shared" si="14"/>
        <v>April</v>
      </c>
      <c r="E485" t="s">
        <v>839</v>
      </c>
      <c r="F485">
        <v>44</v>
      </c>
      <c r="G485" t="str">
        <f t="shared" si="15"/>
        <v>Adult</v>
      </c>
      <c r="H485" t="s">
        <v>42</v>
      </c>
      <c r="I485" t="s">
        <v>37</v>
      </c>
      <c r="J485" t="s">
        <v>32</v>
      </c>
      <c r="K485" t="s">
        <v>51</v>
      </c>
      <c r="L485" t="s">
        <v>74</v>
      </c>
      <c r="M485">
        <v>4</v>
      </c>
      <c r="N485">
        <v>1792</v>
      </c>
      <c r="O485">
        <v>7168</v>
      </c>
      <c r="P485" t="s">
        <v>99</v>
      </c>
      <c r="Q485">
        <v>6</v>
      </c>
      <c r="R485">
        <v>5</v>
      </c>
      <c r="S485" t="s">
        <v>28</v>
      </c>
    </row>
    <row r="486" spans="1:19" x14ac:dyDescent="0.3">
      <c r="A486">
        <v>483</v>
      </c>
      <c r="B486" t="s">
        <v>840</v>
      </c>
      <c r="C486" s="6">
        <v>45774</v>
      </c>
      <c r="D486" s="2" t="str">
        <f t="shared" si="14"/>
        <v>April</v>
      </c>
      <c r="E486" t="s">
        <v>841</v>
      </c>
      <c r="F486">
        <v>19</v>
      </c>
      <c r="G486" t="str">
        <f t="shared" si="15"/>
        <v>Teenager</v>
      </c>
      <c r="H486" t="s">
        <v>42</v>
      </c>
      <c r="I486" t="s">
        <v>120</v>
      </c>
      <c r="J486" t="s">
        <v>65</v>
      </c>
      <c r="K486" t="s">
        <v>25</v>
      </c>
      <c r="L486" t="s">
        <v>189</v>
      </c>
      <c r="M486">
        <v>1</v>
      </c>
      <c r="N486">
        <v>17201</v>
      </c>
      <c r="O486">
        <v>17201</v>
      </c>
      <c r="P486" t="s">
        <v>53</v>
      </c>
      <c r="Q486">
        <v>9</v>
      </c>
      <c r="R486">
        <v>5</v>
      </c>
      <c r="S486" t="s">
        <v>28</v>
      </c>
    </row>
    <row r="487" spans="1:19" x14ac:dyDescent="0.3">
      <c r="A487">
        <v>484</v>
      </c>
      <c r="B487" t="s">
        <v>842</v>
      </c>
      <c r="C487" s="6">
        <v>45775</v>
      </c>
      <c r="D487" s="2" t="str">
        <f t="shared" si="14"/>
        <v>April</v>
      </c>
      <c r="E487" t="s">
        <v>543</v>
      </c>
      <c r="F487">
        <v>20</v>
      </c>
      <c r="G487" t="str">
        <f t="shared" si="15"/>
        <v>Teenager</v>
      </c>
      <c r="H487" t="s">
        <v>42</v>
      </c>
      <c r="I487" t="s">
        <v>49</v>
      </c>
      <c r="J487" t="s">
        <v>24</v>
      </c>
      <c r="K487" t="s">
        <v>44</v>
      </c>
      <c r="L487" t="s">
        <v>224</v>
      </c>
      <c r="M487">
        <v>5</v>
      </c>
      <c r="N487">
        <v>38121</v>
      </c>
      <c r="O487">
        <v>190605</v>
      </c>
      <c r="P487" t="s">
        <v>61</v>
      </c>
      <c r="Q487">
        <v>10</v>
      </c>
      <c r="R487">
        <v>2</v>
      </c>
      <c r="S487" t="s">
        <v>28</v>
      </c>
    </row>
    <row r="488" spans="1:19" x14ac:dyDescent="0.3">
      <c r="A488">
        <v>485</v>
      </c>
      <c r="B488" t="s">
        <v>843</v>
      </c>
      <c r="C488" s="6">
        <v>45776</v>
      </c>
      <c r="D488" s="2" t="str">
        <f t="shared" si="14"/>
        <v>April</v>
      </c>
      <c r="E488" t="s">
        <v>194</v>
      </c>
      <c r="F488">
        <v>39</v>
      </c>
      <c r="G488" t="str">
        <f t="shared" si="15"/>
        <v>Adult</v>
      </c>
      <c r="H488" t="s">
        <v>42</v>
      </c>
      <c r="I488" t="s">
        <v>80</v>
      </c>
      <c r="J488" t="s">
        <v>65</v>
      </c>
      <c r="K488" t="s">
        <v>38</v>
      </c>
      <c r="L488" t="s">
        <v>96</v>
      </c>
      <c r="M488">
        <v>1</v>
      </c>
      <c r="N488">
        <v>37686</v>
      </c>
      <c r="O488">
        <v>37686</v>
      </c>
      <c r="P488" t="s">
        <v>53</v>
      </c>
      <c r="Q488">
        <v>9</v>
      </c>
      <c r="R488">
        <v>1</v>
      </c>
      <c r="S488" t="s">
        <v>46</v>
      </c>
    </row>
    <row r="489" spans="1:19" x14ac:dyDescent="0.3">
      <c r="A489">
        <v>486</v>
      </c>
      <c r="B489" t="s">
        <v>844</v>
      </c>
      <c r="C489" s="6">
        <v>45777</v>
      </c>
      <c r="D489" s="2" t="str">
        <f t="shared" si="14"/>
        <v>April</v>
      </c>
      <c r="E489" t="s">
        <v>215</v>
      </c>
      <c r="F489">
        <v>31</v>
      </c>
      <c r="G489" t="str">
        <f t="shared" si="15"/>
        <v>Adult</v>
      </c>
      <c r="H489" t="s">
        <v>22</v>
      </c>
      <c r="I489" t="s">
        <v>43</v>
      </c>
      <c r="J489" t="s">
        <v>50</v>
      </c>
      <c r="K489" t="s">
        <v>25</v>
      </c>
      <c r="L489" t="s">
        <v>189</v>
      </c>
      <c r="M489">
        <v>10</v>
      </c>
      <c r="N489">
        <v>20536</v>
      </c>
      <c r="O489">
        <v>205360</v>
      </c>
      <c r="P489" t="s">
        <v>61</v>
      </c>
      <c r="Q489">
        <v>4</v>
      </c>
      <c r="R489">
        <v>5</v>
      </c>
      <c r="S489" t="s">
        <v>28</v>
      </c>
    </row>
    <row r="490" spans="1:19" x14ac:dyDescent="0.3">
      <c r="A490">
        <v>487</v>
      </c>
      <c r="B490" t="s">
        <v>845</v>
      </c>
      <c r="C490" s="6">
        <v>45778</v>
      </c>
      <c r="D490" s="2" t="str">
        <f t="shared" si="14"/>
        <v>May</v>
      </c>
      <c r="E490" t="s">
        <v>580</v>
      </c>
      <c r="F490">
        <v>41</v>
      </c>
      <c r="G490" t="str">
        <f t="shared" si="15"/>
        <v>Adult</v>
      </c>
      <c r="H490" t="s">
        <v>42</v>
      </c>
      <c r="I490" t="s">
        <v>31</v>
      </c>
      <c r="J490" t="s">
        <v>32</v>
      </c>
      <c r="K490" t="s">
        <v>38</v>
      </c>
      <c r="L490" t="s">
        <v>71</v>
      </c>
      <c r="M490">
        <v>1</v>
      </c>
      <c r="N490">
        <v>35477</v>
      </c>
      <c r="O490">
        <v>35477</v>
      </c>
      <c r="P490" t="s">
        <v>27</v>
      </c>
      <c r="Q490">
        <v>6</v>
      </c>
      <c r="R490">
        <v>2</v>
      </c>
      <c r="S490" t="s">
        <v>28</v>
      </c>
    </row>
    <row r="491" spans="1:19" x14ac:dyDescent="0.3">
      <c r="A491">
        <v>488</v>
      </c>
      <c r="B491" t="s">
        <v>846</v>
      </c>
      <c r="C491" s="6">
        <v>45779</v>
      </c>
      <c r="D491" s="2" t="str">
        <f t="shared" si="14"/>
        <v>May</v>
      </c>
      <c r="E491" t="s">
        <v>580</v>
      </c>
      <c r="F491">
        <v>46</v>
      </c>
      <c r="G491" t="str">
        <f t="shared" si="15"/>
        <v>Adult</v>
      </c>
      <c r="H491" t="s">
        <v>42</v>
      </c>
      <c r="I491" t="s">
        <v>70</v>
      </c>
      <c r="J491" t="s">
        <v>50</v>
      </c>
      <c r="K491" t="s">
        <v>44</v>
      </c>
      <c r="L491" t="s">
        <v>121</v>
      </c>
      <c r="M491">
        <v>8</v>
      </c>
      <c r="N491">
        <v>6110</v>
      </c>
      <c r="O491">
        <v>48880</v>
      </c>
      <c r="P491" t="s">
        <v>53</v>
      </c>
      <c r="Q491">
        <v>6</v>
      </c>
      <c r="R491">
        <v>2</v>
      </c>
      <c r="S491" t="s">
        <v>46</v>
      </c>
    </row>
    <row r="492" spans="1:19" x14ac:dyDescent="0.3">
      <c r="A492">
        <v>489</v>
      </c>
      <c r="B492" t="s">
        <v>847</v>
      </c>
      <c r="C492" s="6">
        <v>45780</v>
      </c>
      <c r="D492" s="2" t="str">
        <f t="shared" si="14"/>
        <v>May</v>
      </c>
      <c r="E492" t="s">
        <v>848</v>
      </c>
      <c r="F492">
        <v>55</v>
      </c>
      <c r="G492" t="str">
        <f t="shared" si="15"/>
        <v>Senior</v>
      </c>
      <c r="H492" t="s">
        <v>22</v>
      </c>
      <c r="I492" t="s">
        <v>120</v>
      </c>
      <c r="J492" t="s">
        <v>65</v>
      </c>
      <c r="K492" t="s">
        <v>51</v>
      </c>
      <c r="L492" t="s">
        <v>86</v>
      </c>
      <c r="M492">
        <v>4</v>
      </c>
      <c r="N492">
        <v>1510</v>
      </c>
      <c r="O492">
        <v>6040</v>
      </c>
      <c r="P492" t="s">
        <v>61</v>
      </c>
      <c r="Q492">
        <v>2</v>
      </c>
      <c r="R492">
        <v>4</v>
      </c>
      <c r="S492" t="s">
        <v>46</v>
      </c>
    </row>
    <row r="493" spans="1:19" x14ac:dyDescent="0.3">
      <c r="A493">
        <v>490</v>
      </c>
      <c r="B493" t="s">
        <v>849</v>
      </c>
      <c r="C493" s="6">
        <v>45781</v>
      </c>
      <c r="D493" s="2" t="str">
        <f t="shared" si="14"/>
        <v>May</v>
      </c>
      <c r="E493" t="s">
        <v>503</v>
      </c>
      <c r="F493">
        <v>33</v>
      </c>
      <c r="G493" t="str">
        <f t="shared" si="15"/>
        <v>Adult</v>
      </c>
      <c r="H493" t="s">
        <v>42</v>
      </c>
      <c r="I493" t="s">
        <v>64</v>
      </c>
      <c r="J493" t="s">
        <v>32</v>
      </c>
      <c r="K493" t="s">
        <v>33</v>
      </c>
      <c r="L493" t="s">
        <v>89</v>
      </c>
      <c r="M493">
        <v>7</v>
      </c>
      <c r="N493">
        <v>37009</v>
      </c>
      <c r="O493">
        <v>259063</v>
      </c>
      <c r="P493" t="s">
        <v>99</v>
      </c>
      <c r="Q493">
        <v>5</v>
      </c>
      <c r="R493">
        <v>3</v>
      </c>
      <c r="S493" t="s">
        <v>28</v>
      </c>
    </row>
    <row r="494" spans="1:19" x14ac:dyDescent="0.3">
      <c r="A494">
        <v>491</v>
      </c>
      <c r="B494" t="s">
        <v>850</v>
      </c>
      <c r="C494" s="6">
        <v>45782</v>
      </c>
      <c r="D494" s="2" t="str">
        <f t="shared" si="14"/>
        <v>May</v>
      </c>
      <c r="E494" t="s">
        <v>221</v>
      </c>
      <c r="F494">
        <v>18</v>
      </c>
      <c r="G494" t="str">
        <f t="shared" si="15"/>
        <v>Teenager</v>
      </c>
      <c r="H494" t="s">
        <v>42</v>
      </c>
      <c r="I494" t="s">
        <v>120</v>
      </c>
      <c r="J494" t="s">
        <v>32</v>
      </c>
      <c r="K494" t="s">
        <v>44</v>
      </c>
      <c r="L494" t="s">
        <v>121</v>
      </c>
      <c r="M494">
        <v>8</v>
      </c>
      <c r="N494">
        <v>10634</v>
      </c>
      <c r="O494">
        <v>85072</v>
      </c>
      <c r="P494" t="s">
        <v>116</v>
      </c>
      <c r="Q494">
        <v>10</v>
      </c>
      <c r="R494">
        <v>5</v>
      </c>
      <c r="S494" t="s">
        <v>46</v>
      </c>
    </row>
    <row r="495" spans="1:19" x14ac:dyDescent="0.3">
      <c r="A495">
        <v>492</v>
      </c>
      <c r="B495" t="s">
        <v>851</v>
      </c>
      <c r="C495" s="6">
        <v>45783</v>
      </c>
      <c r="D495" s="2" t="str">
        <f t="shared" si="14"/>
        <v>May</v>
      </c>
      <c r="E495" t="s">
        <v>30</v>
      </c>
      <c r="F495">
        <v>41</v>
      </c>
      <c r="G495" t="str">
        <f t="shared" si="15"/>
        <v>Adult</v>
      </c>
      <c r="H495" t="s">
        <v>22</v>
      </c>
      <c r="I495" t="s">
        <v>70</v>
      </c>
      <c r="J495" t="s">
        <v>65</v>
      </c>
      <c r="K495" t="s">
        <v>38</v>
      </c>
      <c r="L495" t="s">
        <v>71</v>
      </c>
      <c r="M495">
        <v>8</v>
      </c>
      <c r="N495">
        <v>10805</v>
      </c>
      <c r="O495">
        <v>86440</v>
      </c>
      <c r="P495" t="s">
        <v>116</v>
      </c>
      <c r="Q495">
        <v>6</v>
      </c>
      <c r="R495">
        <v>4</v>
      </c>
      <c r="S495" t="s">
        <v>46</v>
      </c>
    </row>
    <row r="496" spans="1:19" x14ac:dyDescent="0.3">
      <c r="A496">
        <v>493</v>
      </c>
      <c r="B496" t="s">
        <v>852</v>
      </c>
      <c r="C496" s="6">
        <v>45784</v>
      </c>
      <c r="D496" s="2" t="str">
        <f t="shared" si="14"/>
        <v>May</v>
      </c>
      <c r="E496" t="s">
        <v>21</v>
      </c>
      <c r="F496">
        <v>53</v>
      </c>
      <c r="G496" t="str">
        <f t="shared" si="15"/>
        <v>Senior</v>
      </c>
      <c r="H496" t="s">
        <v>22</v>
      </c>
      <c r="I496" t="s">
        <v>120</v>
      </c>
      <c r="J496" t="s">
        <v>65</v>
      </c>
      <c r="K496" t="s">
        <v>25</v>
      </c>
      <c r="L496" t="s">
        <v>77</v>
      </c>
      <c r="M496">
        <v>3</v>
      </c>
      <c r="N496">
        <v>18014</v>
      </c>
      <c r="O496">
        <v>54042</v>
      </c>
      <c r="P496" t="s">
        <v>99</v>
      </c>
      <c r="Q496">
        <v>9</v>
      </c>
      <c r="R496">
        <v>4</v>
      </c>
      <c r="S496" t="s">
        <v>46</v>
      </c>
    </row>
    <row r="497" spans="1:19" x14ac:dyDescent="0.3">
      <c r="A497">
        <v>494</v>
      </c>
      <c r="B497" t="s">
        <v>853</v>
      </c>
      <c r="C497" s="6">
        <v>45785</v>
      </c>
      <c r="D497" s="2" t="str">
        <f t="shared" si="14"/>
        <v>May</v>
      </c>
      <c r="E497" t="s">
        <v>854</v>
      </c>
      <c r="F497">
        <v>27</v>
      </c>
      <c r="G497" t="str">
        <f t="shared" si="15"/>
        <v>Teenager</v>
      </c>
      <c r="H497" t="s">
        <v>42</v>
      </c>
      <c r="I497" t="s">
        <v>64</v>
      </c>
      <c r="J497" t="s">
        <v>32</v>
      </c>
      <c r="K497" t="s">
        <v>51</v>
      </c>
      <c r="L497" t="s">
        <v>111</v>
      </c>
      <c r="M497">
        <v>10</v>
      </c>
      <c r="N497">
        <v>1647</v>
      </c>
      <c r="O497">
        <v>16470</v>
      </c>
      <c r="P497" t="s">
        <v>116</v>
      </c>
      <c r="Q497">
        <v>10</v>
      </c>
      <c r="R497">
        <v>5</v>
      </c>
      <c r="S497" t="s">
        <v>46</v>
      </c>
    </row>
    <row r="498" spans="1:19" x14ac:dyDescent="0.3">
      <c r="A498">
        <v>495</v>
      </c>
      <c r="B498" t="s">
        <v>855</v>
      </c>
      <c r="C498" s="6">
        <v>45786</v>
      </c>
      <c r="D498" s="2" t="str">
        <f t="shared" si="14"/>
        <v>May</v>
      </c>
      <c r="E498" t="s">
        <v>856</v>
      </c>
      <c r="F498">
        <v>30</v>
      </c>
      <c r="G498" t="str">
        <f t="shared" si="15"/>
        <v>Adult</v>
      </c>
      <c r="H498" t="s">
        <v>42</v>
      </c>
      <c r="I498" t="s">
        <v>37</v>
      </c>
      <c r="J498" t="s">
        <v>50</v>
      </c>
      <c r="K498" t="s">
        <v>51</v>
      </c>
      <c r="L498" t="s">
        <v>60</v>
      </c>
      <c r="M498">
        <v>6</v>
      </c>
      <c r="N498">
        <v>1141</v>
      </c>
      <c r="O498">
        <v>6846</v>
      </c>
      <c r="P498" t="s">
        <v>53</v>
      </c>
      <c r="Q498">
        <v>7</v>
      </c>
      <c r="R498">
        <v>2</v>
      </c>
      <c r="S498" t="s">
        <v>28</v>
      </c>
    </row>
    <row r="499" spans="1:19" x14ac:dyDescent="0.3">
      <c r="A499">
        <v>496</v>
      </c>
      <c r="B499" t="s">
        <v>857</v>
      </c>
      <c r="C499" s="6">
        <v>45787</v>
      </c>
      <c r="D499" s="2" t="str">
        <f t="shared" si="14"/>
        <v>May</v>
      </c>
      <c r="E499" t="s">
        <v>280</v>
      </c>
      <c r="F499">
        <v>49</v>
      </c>
      <c r="G499" t="str">
        <f t="shared" si="15"/>
        <v>Adult</v>
      </c>
      <c r="H499" t="s">
        <v>22</v>
      </c>
      <c r="I499" t="s">
        <v>37</v>
      </c>
      <c r="J499" t="s">
        <v>24</v>
      </c>
      <c r="K499" t="s">
        <v>51</v>
      </c>
      <c r="L499" t="s">
        <v>111</v>
      </c>
      <c r="M499">
        <v>3</v>
      </c>
      <c r="N499">
        <v>184</v>
      </c>
      <c r="O499">
        <v>552</v>
      </c>
      <c r="P499" t="s">
        <v>116</v>
      </c>
      <c r="Q499">
        <v>5</v>
      </c>
      <c r="R499">
        <v>5</v>
      </c>
      <c r="S499" t="s">
        <v>28</v>
      </c>
    </row>
    <row r="500" spans="1:19" x14ac:dyDescent="0.3">
      <c r="A500">
        <v>497</v>
      </c>
      <c r="B500" t="s">
        <v>858</v>
      </c>
      <c r="C500" s="6">
        <v>45788</v>
      </c>
      <c r="D500" s="2" t="str">
        <f t="shared" si="14"/>
        <v>May</v>
      </c>
      <c r="E500" t="s">
        <v>859</v>
      </c>
      <c r="F500">
        <v>38</v>
      </c>
      <c r="G500" t="str">
        <f t="shared" si="15"/>
        <v>Adult</v>
      </c>
      <c r="H500" t="s">
        <v>22</v>
      </c>
      <c r="I500" t="s">
        <v>64</v>
      </c>
      <c r="J500" t="s">
        <v>65</v>
      </c>
      <c r="K500" t="s">
        <v>44</v>
      </c>
      <c r="L500" t="s">
        <v>45</v>
      </c>
      <c r="M500">
        <v>3</v>
      </c>
      <c r="N500">
        <v>46094</v>
      </c>
      <c r="O500">
        <v>138282</v>
      </c>
      <c r="P500" t="s">
        <v>27</v>
      </c>
      <c r="Q500">
        <v>8</v>
      </c>
      <c r="R500">
        <v>2</v>
      </c>
      <c r="S500" t="s">
        <v>28</v>
      </c>
    </row>
    <row r="501" spans="1:19" x14ac:dyDescent="0.3">
      <c r="A501">
        <v>498</v>
      </c>
      <c r="B501" t="s">
        <v>860</v>
      </c>
      <c r="C501" s="6">
        <v>45789</v>
      </c>
      <c r="D501" s="2" t="str">
        <f t="shared" si="14"/>
        <v>May</v>
      </c>
      <c r="E501" t="s">
        <v>856</v>
      </c>
      <c r="F501">
        <v>40</v>
      </c>
      <c r="G501" t="str">
        <f t="shared" si="15"/>
        <v>Adult</v>
      </c>
      <c r="H501" t="s">
        <v>22</v>
      </c>
      <c r="I501" t="s">
        <v>80</v>
      </c>
      <c r="J501" t="s">
        <v>24</v>
      </c>
      <c r="K501" t="s">
        <v>33</v>
      </c>
      <c r="L501" t="s">
        <v>160</v>
      </c>
      <c r="M501">
        <v>10</v>
      </c>
      <c r="N501">
        <v>12984</v>
      </c>
      <c r="O501">
        <v>129840</v>
      </c>
      <c r="P501" t="s">
        <v>116</v>
      </c>
      <c r="Q501">
        <v>9</v>
      </c>
      <c r="R501">
        <v>5</v>
      </c>
      <c r="S501" t="s">
        <v>46</v>
      </c>
    </row>
    <row r="502" spans="1:19" x14ac:dyDescent="0.3">
      <c r="A502">
        <v>499</v>
      </c>
      <c r="B502" t="s">
        <v>861</v>
      </c>
      <c r="C502" s="6">
        <v>45790</v>
      </c>
      <c r="D502" s="2" t="str">
        <f t="shared" si="14"/>
        <v>May</v>
      </c>
      <c r="E502" t="s">
        <v>319</v>
      </c>
      <c r="F502">
        <v>38</v>
      </c>
      <c r="G502" t="str">
        <f t="shared" si="15"/>
        <v>Adult</v>
      </c>
      <c r="H502" t="s">
        <v>22</v>
      </c>
      <c r="I502" t="s">
        <v>120</v>
      </c>
      <c r="J502" t="s">
        <v>24</v>
      </c>
      <c r="K502" t="s">
        <v>33</v>
      </c>
      <c r="L502" t="s">
        <v>160</v>
      </c>
      <c r="M502">
        <v>8</v>
      </c>
      <c r="N502">
        <v>32531</v>
      </c>
      <c r="O502">
        <v>260248</v>
      </c>
      <c r="P502" t="s">
        <v>99</v>
      </c>
      <c r="Q502">
        <v>6</v>
      </c>
      <c r="R502">
        <v>5</v>
      </c>
      <c r="S502" t="s">
        <v>46</v>
      </c>
    </row>
    <row r="503" spans="1:19" x14ac:dyDescent="0.3">
      <c r="A503">
        <v>500</v>
      </c>
      <c r="B503" t="s">
        <v>862</v>
      </c>
      <c r="C503" s="6">
        <v>45791</v>
      </c>
      <c r="D503" s="2" t="str">
        <f t="shared" si="14"/>
        <v>May</v>
      </c>
      <c r="E503" t="s">
        <v>534</v>
      </c>
      <c r="F503">
        <v>27</v>
      </c>
      <c r="G503" t="str">
        <f t="shared" si="15"/>
        <v>Teenager</v>
      </c>
      <c r="H503" t="s">
        <v>42</v>
      </c>
      <c r="I503" t="s">
        <v>80</v>
      </c>
      <c r="J503" t="s">
        <v>32</v>
      </c>
      <c r="K503" t="s">
        <v>51</v>
      </c>
      <c r="L503" t="s">
        <v>86</v>
      </c>
      <c r="M503">
        <v>1</v>
      </c>
      <c r="N503">
        <v>1354</v>
      </c>
      <c r="O503">
        <v>1354</v>
      </c>
      <c r="P503" t="s">
        <v>99</v>
      </c>
      <c r="Q503">
        <v>9</v>
      </c>
      <c r="R503">
        <v>3</v>
      </c>
      <c r="S503" t="s">
        <v>46</v>
      </c>
    </row>
    <row r="504" spans="1:19" x14ac:dyDescent="0.3">
      <c r="A504">
        <v>501</v>
      </c>
      <c r="B504" t="s">
        <v>863</v>
      </c>
      <c r="C504" s="6">
        <v>45792</v>
      </c>
      <c r="D504" s="2" t="str">
        <f t="shared" si="14"/>
        <v>May</v>
      </c>
      <c r="E504" t="s">
        <v>864</v>
      </c>
      <c r="F504">
        <v>37</v>
      </c>
      <c r="G504" t="str">
        <f t="shared" si="15"/>
        <v>Adult</v>
      </c>
      <c r="H504" t="s">
        <v>22</v>
      </c>
      <c r="I504" t="s">
        <v>102</v>
      </c>
      <c r="J504" t="s">
        <v>50</v>
      </c>
      <c r="K504" t="s">
        <v>44</v>
      </c>
      <c r="L504" t="s">
        <v>45</v>
      </c>
      <c r="M504">
        <v>6</v>
      </c>
      <c r="N504">
        <v>30673</v>
      </c>
      <c r="O504">
        <v>184038</v>
      </c>
      <c r="P504" t="s">
        <v>27</v>
      </c>
      <c r="Q504">
        <v>8</v>
      </c>
      <c r="R504">
        <v>2</v>
      </c>
      <c r="S504" t="s">
        <v>28</v>
      </c>
    </row>
    <row r="505" spans="1:19" x14ac:dyDescent="0.3">
      <c r="A505">
        <v>502</v>
      </c>
      <c r="B505" t="s">
        <v>865</v>
      </c>
      <c r="C505" s="6">
        <v>45793</v>
      </c>
      <c r="D505" s="2" t="str">
        <f t="shared" si="14"/>
        <v>May</v>
      </c>
      <c r="E505" t="s">
        <v>866</v>
      </c>
      <c r="F505">
        <v>51</v>
      </c>
      <c r="G505" t="str">
        <f t="shared" si="15"/>
        <v>Senior</v>
      </c>
      <c r="H505" t="s">
        <v>22</v>
      </c>
      <c r="I505" t="s">
        <v>64</v>
      </c>
      <c r="J505" t="s">
        <v>24</v>
      </c>
      <c r="K505" t="s">
        <v>38</v>
      </c>
      <c r="L505" t="s">
        <v>135</v>
      </c>
      <c r="M505">
        <v>2</v>
      </c>
      <c r="N505">
        <v>22055</v>
      </c>
      <c r="O505">
        <v>44110</v>
      </c>
      <c r="P505" t="s">
        <v>61</v>
      </c>
      <c r="Q505">
        <v>2</v>
      </c>
      <c r="R505">
        <v>3</v>
      </c>
      <c r="S505" t="s">
        <v>28</v>
      </c>
    </row>
    <row r="506" spans="1:19" x14ac:dyDescent="0.3">
      <c r="A506">
        <v>503</v>
      </c>
      <c r="B506" t="s">
        <v>867</v>
      </c>
      <c r="C506" s="6">
        <v>45794</v>
      </c>
      <c r="D506" s="2" t="str">
        <f t="shared" si="14"/>
        <v>May</v>
      </c>
      <c r="E506" t="s">
        <v>782</v>
      </c>
      <c r="F506">
        <v>47</v>
      </c>
      <c r="G506" t="str">
        <f t="shared" si="15"/>
        <v>Adult</v>
      </c>
      <c r="H506" t="s">
        <v>22</v>
      </c>
      <c r="I506" t="s">
        <v>64</v>
      </c>
      <c r="J506" t="s">
        <v>32</v>
      </c>
      <c r="K506" t="s">
        <v>33</v>
      </c>
      <c r="L506" t="s">
        <v>173</v>
      </c>
      <c r="M506">
        <v>10</v>
      </c>
      <c r="N506">
        <v>45781</v>
      </c>
      <c r="O506">
        <v>457810</v>
      </c>
      <c r="P506" t="s">
        <v>99</v>
      </c>
      <c r="Q506">
        <v>10</v>
      </c>
      <c r="R506">
        <v>4</v>
      </c>
      <c r="S506" t="s">
        <v>28</v>
      </c>
    </row>
    <row r="507" spans="1:19" x14ac:dyDescent="0.3">
      <c r="A507">
        <v>504</v>
      </c>
      <c r="B507" t="s">
        <v>868</v>
      </c>
      <c r="C507" s="6">
        <v>45795</v>
      </c>
      <c r="D507" s="2" t="str">
        <f t="shared" si="14"/>
        <v>May</v>
      </c>
      <c r="E507" t="s">
        <v>41</v>
      </c>
      <c r="F507">
        <v>46</v>
      </c>
      <c r="G507" t="str">
        <f t="shared" si="15"/>
        <v>Adult</v>
      </c>
      <c r="H507" t="s">
        <v>22</v>
      </c>
      <c r="I507" t="s">
        <v>70</v>
      </c>
      <c r="J507" t="s">
        <v>24</v>
      </c>
      <c r="K507" t="s">
        <v>44</v>
      </c>
      <c r="L507" t="s">
        <v>178</v>
      </c>
      <c r="M507">
        <v>4</v>
      </c>
      <c r="N507">
        <v>19342</v>
      </c>
      <c r="O507">
        <v>77368</v>
      </c>
      <c r="P507" t="s">
        <v>99</v>
      </c>
      <c r="Q507">
        <v>5</v>
      </c>
      <c r="R507">
        <v>2</v>
      </c>
      <c r="S507" t="s">
        <v>28</v>
      </c>
    </row>
    <row r="508" spans="1:19" x14ac:dyDescent="0.3">
      <c r="A508">
        <v>505</v>
      </c>
      <c r="B508" t="s">
        <v>869</v>
      </c>
      <c r="C508" s="6">
        <v>45796</v>
      </c>
      <c r="D508" s="2" t="str">
        <f t="shared" si="14"/>
        <v>May</v>
      </c>
      <c r="E508" t="s">
        <v>672</v>
      </c>
      <c r="F508">
        <v>52</v>
      </c>
      <c r="G508" t="str">
        <f t="shared" si="15"/>
        <v>Senior</v>
      </c>
      <c r="H508" t="s">
        <v>22</v>
      </c>
      <c r="I508" t="s">
        <v>64</v>
      </c>
      <c r="J508" t="s">
        <v>65</v>
      </c>
      <c r="K508" t="s">
        <v>38</v>
      </c>
      <c r="L508" t="s">
        <v>71</v>
      </c>
      <c r="M508">
        <v>5</v>
      </c>
      <c r="N508">
        <v>7012</v>
      </c>
      <c r="O508">
        <v>35060</v>
      </c>
      <c r="P508" t="s">
        <v>116</v>
      </c>
      <c r="Q508">
        <v>9</v>
      </c>
      <c r="R508">
        <v>2</v>
      </c>
      <c r="S508" t="s">
        <v>28</v>
      </c>
    </row>
    <row r="509" spans="1:19" x14ac:dyDescent="0.3">
      <c r="A509">
        <v>506</v>
      </c>
      <c r="B509" t="s">
        <v>870</v>
      </c>
      <c r="C509" s="6">
        <v>45797</v>
      </c>
      <c r="D509" s="2" t="str">
        <f t="shared" si="14"/>
        <v>May</v>
      </c>
      <c r="E509" t="s">
        <v>231</v>
      </c>
      <c r="F509">
        <v>24</v>
      </c>
      <c r="G509" t="str">
        <f t="shared" si="15"/>
        <v>Teenager</v>
      </c>
      <c r="H509" t="s">
        <v>42</v>
      </c>
      <c r="I509" t="s">
        <v>64</v>
      </c>
      <c r="J509" t="s">
        <v>32</v>
      </c>
      <c r="K509" t="s">
        <v>25</v>
      </c>
      <c r="L509" t="s">
        <v>124</v>
      </c>
      <c r="M509">
        <v>4</v>
      </c>
      <c r="N509">
        <v>7215</v>
      </c>
      <c r="O509">
        <v>28860</v>
      </c>
      <c r="P509" t="s">
        <v>27</v>
      </c>
      <c r="Q509">
        <v>4</v>
      </c>
      <c r="R509">
        <v>1</v>
      </c>
      <c r="S509" t="s">
        <v>46</v>
      </c>
    </row>
    <row r="510" spans="1:19" x14ac:dyDescent="0.3">
      <c r="A510">
        <v>507</v>
      </c>
      <c r="B510" t="s">
        <v>871</v>
      </c>
      <c r="C510" s="6">
        <v>45798</v>
      </c>
      <c r="D510" s="2" t="str">
        <f t="shared" si="14"/>
        <v>May</v>
      </c>
      <c r="E510" t="s">
        <v>872</v>
      </c>
      <c r="F510">
        <v>38</v>
      </c>
      <c r="G510" t="str">
        <f t="shared" si="15"/>
        <v>Adult</v>
      </c>
      <c r="H510" t="s">
        <v>22</v>
      </c>
      <c r="I510" t="s">
        <v>43</v>
      </c>
      <c r="J510" t="s">
        <v>24</v>
      </c>
      <c r="K510" t="s">
        <v>25</v>
      </c>
      <c r="L510" t="s">
        <v>77</v>
      </c>
      <c r="M510">
        <v>4</v>
      </c>
      <c r="N510">
        <v>17607</v>
      </c>
      <c r="O510">
        <v>70428</v>
      </c>
      <c r="P510" t="s">
        <v>99</v>
      </c>
      <c r="Q510">
        <v>6</v>
      </c>
      <c r="R510">
        <v>1</v>
      </c>
      <c r="S510" t="s">
        <v>28</v>
      </c>
    </row>
    <row r="511" spans="1:19" x14ac:dyDescent="0.3">
      <c r="A511">
        <v>508</v>
      </c>
      <c r="B511" t="s">
        <v>873</v>
      </c>
      <c r="C511" s="6">
        <v>45799</v>
      </c>
      <c r="D511" s="2" t="str">
        <f t="shared" si="14"/>
        <v>May</v>
      </c>
      <c r="E511" t="s">
        <v>874</v>
      </c>
      <c r="F511">
        <v>23</v>
      </c>
      <c r="G511" t="str">
        <f t="shared" si="15"/>
        <v>Teenager</v>
      </c>
      <c r="H511" t="s">
        <v>22</v>
      </c>
      <c r="I511" t="s">
        <v>120</v>
      </c>
      <c r="J511" t="s">
        <v>65</v>
      </c>
      <c r="K511" t="s">
        <v>38</v>
      </c>
      <c r="L511" t="s">
        <v>71</v>
      </c>
      <c r="M511">
        <v>3</v>
      </c>
      <c r="N511">
        <v>17108</v>
      </c>
      <c r="O511">
        <v>51324</v>
      </c>
      <c r="P511" t="s">
        <v>53</v>
      </c>
      <c r="Q511">
        <v>5</v>
      </c>
      <c r="R511">
        <v>4</v>
      </c>
      <c r="S511" t="s">
        <v>46</v>
      </c>
    </row>
    <row r="512" spans="1:19" x14ac:dyDescent="0.3">
      <c r="A512">
        <v>509</v>
      </c>
      <c r="B512" t="s">
        <v>875</v>
      </c>
      <c r="C512" s="6">
        <v>45800</v>
      </c>
      <c r="D512" s="2" t="str">
        <f t="shared" si="14"/>
        <v>May</v>
      </c>
      <c r="E512" t="s">
        <v>531</v>
      </c>
      <c r="F512">
        <v>51</v>
      </c>
      <c r="G512" t="str">
        <f t="shared" si="15"/>
        <v>Senior</v>
      </c>
      <c r="H512" t="s">
        <v>22</v>
      </c>
      <c r="I512" t="s">
        <v>120</v>
      </c>
      <c r="J512" t="s">
        <v>50</v>
      </c>
      <c r="K512" t="s">
        <v>33</v>
      </c>
      <c r="L512" t="s">
        <v>153</v>
      </c>
      <c r="M512">
        <v>4</v>
      </c>
      <c r="N512">
        <v>17701</v>
      </c>
      <c r="O512">
        <v>70804</v>
      </c>
      <c r="P512" t="s">
        <v>61</v>
      </c>
      <c r="Q512">
        <v>3</v>
      </c>
      <c r="R512">
        <v>3</v>
      </c>
      <c r="S512" t="s">
        <v>28</v>
      </c>
    </row>
    <row r="513" spans="1:19" x14ac:dyDescent="0.3">
      <c r="A513">
        <v>510</v>
      </c>
      <c r="B513" t="s">
        <v>876</v>
      </c>
      <c r="C513" s="6">
        <v>45801</v>
      </c>
      <c r="D513" s="2" t="str">
        <f t="shared" si="14"/>
        <v>May</v>
      </c>
      <c r="E513" t="s">
        <v>373</v>
      </c>
      <c r="F513">
        <v>43</v>
      </c>
      <c r="G513" t="str">
        <f t="shared" si="15"/>
        <v>Adult</v>
      </c>
      <c r="H513" t="s">
        <v>22</v>
      </c>
      <c r="I513" t="s">
        <v>37</v>
      </c>
      <c r="J513" t="s">
        <v>65</v>
      </c>
      <c r="K513" t="s">
        <v>33</v>
      </c>
      <c r="L513" t="s">
        <v>160</v>
      </c>
      <c r="M513">
        <v>5</v>
      </c>
      <c r="N513">
        <v>24730</v>
      </c>
      <c r="O513">
        <v>123650</v>
      </c>
      <c r="P513" t="s">
        <v>116</v>
      </c>
      <c r="Q513">
        <v>8</v>
      </c>
      <c r="R513">
        <v>1</v>
      </c>
      <c r="S513" t="s">
        <v>46</v>
      </c>
    </row>
    <row r="514" spans="1:19" x14ac:dyDescent="0.3">
      <c r="A514">
        <v>511</v>
      </c>
      <c r="B514" t="s">
        <v>877</v>
      </c>
      <c r="C514" s="6">
        <v>45802</v>
      </c>
      <c r="D514" s="2" t="str">
        <f t="shared" si="14"/>
        <v>May</v>
      </c>
      <c r="E514" t="s">
        <v>326</v>
      </c>
      <c r="F514">
        <v>21</v>
      </c>
      <c r="G514" t="str">
        <f t="shared" si="15"/>
        <v>Teenager</v>
      </c>
      <c r="H514" t="s">
        <v>42</v>
      </c>
      <c r="I514" t="s">
        <v>43</v>
      </c>
      <c r="J514" t="s">
        <v>50</v>
      </c>
      <c r="K514" t="s">
        <v>38</v>
      </c>
      <c r="L514" t="s">
        <v>135</v>
      </c>
      <c r="M514">
        <v>7</v>
      </c>
      <c r="N514">
        <v>34571</v>
      </c>
      <c r="O514">
        <v>241997</v>
      </c>
      <c r="P514" t="s">
        <v>53</v>
      </c>
      <c r="Q514">
        <v>7</v>
      </c>
      <c r="R514">
        <v>4</v>
      </c>
      <c r="S514" t="s">
        <v>46</v>
      </c>
    </row>
    <row r="515" spans="1:19" x14ac:dyDescent="0.3">
      <c r="A515">
        <v>512</v>
      </c>
      <c r="B515" t="s">
        <v>878</v>
      </c>
      <c r="C515" s="6">
        <v>45803</v>
      </c>
      <c r="D515" s="2" t="str">
        <f t="shared" si="14"/>
        <v>May</v>
      </c>
      <c r="E515" t="s">
        <v>223</v>
      </c>
      <c r="F515">
        <v>56</v>
      </c>
      <c r="G515" t="str">
        <f t="shared" si="15"/>
        <v>Senior</v>
      </c>
      <c r="H515" t="s">
        <v>42</v>
      </c>
      <c r="I515" t="s">
        <v>120</v>
      </c>
      <c r="J515" t="s">
        <v>32</v>
      </c>
      <c r="K515" t="s">
        <v>51</v>
      </c>
      <c r="L515" t="s">
        <v>86</v>
      </c>
      <c r="M515">
        <v>6</v>
      </c>
      <c r="N515">
        <v>1428</v>
      </c>
      <c r="O515">
        <v>8568</v>
      </c>
      <c r="P515" t="s">
        <v>61</v>
      </c>
      <c r="Q515">
        <v>8</v>
      </c>
      <c r="R515">
        <v>4</v>
      </c>
      <c r="S515" t="s">
        <v>46</v>
      </c>
    </row>
    <row r="516" spans="1:19" x14ac:dyDescent="0.3">
      <c r="A516">
        <v>513</v>
      </c>
      <c r="B516" t="s">
        <v>879</v>
      </c>
      <c r="C516" s="6">
        <v>45804</v>
      </c>
      <c r="D516" s="2" t="str">
        <f t="shared" ref="D516:D579" si="16">TEXT(C516,"mmmm")</f>
        <v>May</v>
      </c>
      <c r="E516" t="s">
        <v>219</v>
      </c>
      <c r="F516">
        <v>37</v>
      </c>
      <c r="G516" t="str">
        <f t="shared" ref="G516:G579" si="17">IF(F516&gt;=50,"Senior",IF(F516&gt;=30,"Adult","Teenager"))</f>
        <v>Adult</v>
      </c>
      <c r="H516" t="s">
        <v>42</v>
      </c>
      <c r="I516" t="s">
        <v>64</v>
      </c>
      <c r="J516" t="s">
        <v>32</v>
      </c>
      <c r="K516" t="s">
        <v>51</v>
      </c>
      <c r="L516" t="s">
        <v>86</v>
      </c>
      <c r="M516">
        <v>8</v>
      </c>
      <c r="N516">
        <v>1145</v>
      </c>
      <c r="O516">
        <v>9160</v>
      </c>
      <c r="P516" t="s">
        <v>99</v>
      </c>
      <c r="Q516">
        <v>8</v>
      </c>
      <c r="R516">
        <v>4</v>
      </c>
      <c r="S516" t="s">
        <v>28</v>
      </c>
    </row>
    <row r="517" spans="1:19" x14ac:dyDescent="0.3">
      <c r="A517">
        <v>514</v>
      </c>
      <c r="B517" t="s">
        <v>880</v>
      </c>
      <c r="C517" s="6">
        <v>45805</v>
      </c>
      <c r="D517" s="2" t="str">
        <f t="shared" si="16"/>
        <v>May</v>
      </c>
      <c r="E517" t="s">
        <v>290</v>
      </c>
      <c r="F517">
        <v>57</v>
      </c>
      <c r="G517" t="str">
        <f t="shared" si="17"/>
        <v>Senior</v>
      </c>
      <c r="H517" t="s">
        <v>42</v>
      </c>
      <c r="I517" t="s">
        <v>120</v>
      </c>
      <c r="J517" t="s">
        <v>32</v>
      </c>
      <c r="K517" t="s">
        <v>33</v>
      </c>
      <c r="L517" t="s">
        <v>89</v>
      </c>
      <c r="M517">
        <v>2</v>
      </c>
      <c r="N517">
        <v>41303</v>
      </c>
      <c r="O517">
        <v>82606</v>
      </c>
      <c r="P517" t="s">
        <v>53</v>
      </c>
      <c r="Q517">
        <v>6</v>
      </c>
      <c r="R517">
        <v>4</v>
      </c>
      <c r="S517" t="s">
        <v>46</v>
      </c>
    </row>
    <row r="518" spans="1:19" x14ac:dyDescent="0.3">
      <c r="A518">
        <v>515</v>
      </c>
      <c r="B518" t="s">
        <v>881</v>
      </c>
      <c r="C518" s="6">
        <v>45806</v>
      </c>
      <c r="D518" s="2" t="str">
        <f t="shared" si="16"/>
        <v>May</v>
      </c>
      <c r="E518" t="s">
        <v>678</v>
      </c>
      <c r="F518">
        <v>59</v>
      </c>
      <c r="G518" t="str">
        <f t="shared" si="17"/>
        <v>Senior</v>
      </c>
      <c r="H518" t="s">
        <v>22</v>
      </c>
      <c r="I518" t="s">
        <v>80</v>
      </c>
      <c r="J518" t="s">
        <v>50</v>
      </c>
      <c r="K518" t="s">
        <v>33</v>
      </c>
      <c r="L518" t="s">
        <v>160</v>
      </c>
      <c r="M518">
        <v>10</v>
      </c>
      <c r="N518">
        <v>8847</v>
      </c>
      <c r="O518">
        <v>88470</v>
      </c>
      <c r="P518" t="s">
        <v>53</v>
      </c>
      <c r="Q518">
        <v>3</v>
      </c>
      <c r="R518">
        <v>3</v>
      </c>
      <c r="S518" t="s">
        <v>46</v>
      </c>
    </row>
    <row r="519" spans="1:19" x14ac:dyDescent="0.3">
      <c r="A519">
        <v>516</v>
      </c>
      <c r="B519" t="s">
        <v>882</v>
      </c>
      <c r="C519" s="6">
        <v>45807</v>
      </c>
      <c r="D519" s="2" t="str">
        <f t="shared" si="16"/>
        <v>May</v>
      </c>
      <c r="E519" t="s">
        <v>883</v>
      </c>
      <c r="F519">
        <v>43</v>
      </c>
      <c r="G519" t="str">
        <f t="shared" si="17"/>
        <v>Adult</v>
      </c>
      <c r="H519" t="s">
        <v>42</v>
      </c>
      <c r="I519" t="s">
        <v>37</v>
      </c>
      <c r="J519" t="s">
        <v>24</v>
      </c>
      <c r="K519" t="s">
        <v>33</v>
      </c>
      <c r="L519" t="s">
        <v>153</v>
      </c>
      <c r="M519">
        <v>6</v>
      </c>
      <c r="N519">
        <v>24866</v>
      </c>
      <c r="O519">
        <v>149196</v>
      </c>
      <c r="P519" t="s">
        <v>61</v>
      </c>
      <c r="Q519">
        <v>6</v>
      </c>
      <c r="R519">
        <v>4</v>
      </c>
      <c r="S519" t="s">
        <v>46</v>
      </c>
    </row>
    <row r="520" spans="1:19" x14ac:dyDescent="0.3">
      <c r="A520">
        <v>517</v>
      </c>
      <c r="B520" t="s">
        <v>884</v>
      </c>
      <c r="C520" s="6">
        <v>45808</v>
      </c>
      <c r="D520" s="2" t="str">
        <f t="shared" si="16"/>
        <v>May</v>
      </c>
      <c r="E520" t="s">
        <v>510</v>
      </c>
      <c r="F520">
        <v>33</v>
      </c>
      <c r="G520" t="str">
        <f t="shared" si="17"/>
        <v>Adult</v>
      </c>
      <c r="H520" t="s">
        <v>22</v>
      </c>
      <c r="I520" t="s">
        <v>102</v>
      </c>
      <c r="J520" t="s">
        <v>65</v>
      </c>
      <c r="K520" t="s">
        <v>38</v>
      </c>
      <c r="L520" t="s">
        <v>135</v>
      </c>
      <c r="M520">
        <v>2</v>
      </c>
      <c r="N520">
        <v>30231</v>
      </c>
      <c r="O520">
        <v>60462</v>
      </c>
      <c r="P520" t="s">
        <v>27</v>
      </c>
      <c r="Q520">
        <v>4</v>
      </c>
      <c r="R520">
        <v>3</v>
      </c>
      <c r="S520" t="s">
        <v>28</v>
      </c>
    </row>
    <row r="521" spans="1:19" x14ac:dyDescent="0.3">
      <c r="A521">
        <v>518</v>
      </c>
      <c r="B521" t="s">
        <v>885</v>
      </c>
      <c r="C521" s="6">
        <v>45809</v>
      </c>
      <c r="D521" s="2" t="str">
        <f t="shared" si="16"/>
        <v>June</v>
      </c>
      <c r="E521" t="s">
        <v>866</v>
      </c>
      <c r="F521">
        <v>34</v>
      </c>
      <c r="G521" t="str">
        <f t="shared" si="17"/>
        <v>Adult</v>
      </c>
      <c r="H521" t="s">
        <v>22</v>
      </c>
      <c r="I521" t="s">
        <v>49</v>
      </c>
      <c r="J521" t="s">
        <v>65</v>
      </c>
      <c r="K521" t="s">
        <v>25</v>
      </c>
      <c r="L521" t="s">
        <v>26</v>
      </c>
      <c r="M521">
        <v>8</v>
      </c>
      <c r="N521">
        <v>3332</v>
      </c>
      <c r="O521">
        <v>26656</v>
      </c>
      <c r="P521" t="s">
        <v>53</v>
      </c>
      <c r="Q521">
        <v>8</v>
      </c>
      <c r="R521">
        <v>3</v>
      </c>
      <c r="S521" t="s">
        <v>46</v>
      </c>
    </row>
    <row r="522" spans="1:19" x14ac:dyDescent="0.3">
      <c r="A522">
        <v>519</v>
      </c>
      <c r="B522" t="s">
        <v>886</v>
      </c>
      <c r="C522" s="6">
        <v>45810</v>
      </c>
      <c r="D522" s="2" t="str">
        <f t="shared" si="16"/>
        <v>June</v>
      </c>
      <c r="E522" t="s">
        <v>426</v>
      </c>
      <c r="F522">
        <v>25</v>
      </c>
      <c r="G522" t="str">
        <f t="shared" si="17"/>
        <v>Teenager</v>
      </c>
      <c r="H522" t="s">
        <v>42</v>
      </c>
      <c r="I522" t="s">
        <v>64</v>
      </c>
      <c r="J522" t="s">
        <v>50</v>
      </c>
      <c r="K522" t="s">
        <v>51</v>
      </c>
      <c r="L522" t="s">
        <v>86</v>
      </c>
      <c r="M522">
        <v>6</v>
      </c>
      <c r="N522">
        <v>334</v>
      </c>
      <c r="O522">
        <v>2004</v>
      </c>
      <c r="P522" t="s">
        <v>27</v>
      </c>
      <c r="Q522">
        <v>10</v>
      </c>
      <c r="R522">
        <v>5</v>
      </c>
      <c r="S522" t="s">
        <v>28</v>
      </c>
    </row>
    <row r="523" spans="1:19" x14ac:dyDescent="0.3">
      <c r="A523">
        <v>520</v>
      </c>
      <c r="B523" t="s">
        <v>887</v>
      </c>
      <c r="C523" s="6">
        <v>45811</v>
      </c>
      <c r="D523" s="2" t="str">
        <f t="shared" si="16"/>
        <v>June</v>
      </c>
      <c r="E523" t="s">
        <v>888</v>
      </c>
      <c r="F523">
        <v>38</v>
      </c>
      <c r="G523" t="str">
        <f t="shared" si="17"/>
        <v>Adult</v>
      </c>
      <c r="H523" t="s">
        <v>22</v>
      </c>
      <c r="I523" t="s">
        <v>23</v>
      </c>
      <c r="J523" t="s">
        <v>24</v>
      </c>
      <c r="K523" t="s">
        <v>38</v>
      </c>
      <c r="L523" t="s">
        <v>39</v>
      </c>
      <c r="M523">
        <v>9</v>
      </c>
      <c r="N523">
        <v>11220</v>
      </c>
      <c r="O523">
        <v>100980</v>
      </c>
      <c r="P523" t="s">
        <v>53</v>
      </c>
      <c r="Q523">
        <v>3</v>
      </c>
      <c r="R523">
        <v>2</v>
      </c>
      <c r="S523" t="s">
        <v>28</v>
      </c>
    </row>
    <row r="524" spans="1:19" x14ac:dyDescent="0.3">
      <c r="A524">
        <v>521</v>
      </c>
      <c r="B524" t="s">
        <v>889</v>
      </c>
      <c r="C524" s="6">
        <v>45812</v>
      </c>
      <c r="D524" s="2" t="str">
        <f t="shared" si="16"/>
        <v>June</v>
      </c>
      <c r="E524" t="s">
        <v>687</v>
      </c>
      <c r="F524">
        <v>22</v>
      </c>
      <c r="G524" t="str">
        <f t="shared" si="17"/>
        <v>Teenager</v>
      </c>
      <c r="H524" t="s">
        <v>22</v>
      </c>
      <c r="I524" t="s">
        <v>23</v>
      </c>
      <c r="J524" t="s">
        <v>32</v>
      </c>
      <c r="K524" t="s">
        <v>33</v>
      </c>
      <c r="L524" t="s">
        <v>89</v>
      </c>
      <c r="M524">
        <v>10</v>
      </c>
      <c r="N524">
        <v>13015</v>
      </c>
      <c r="O524">
        <v>130150</v>
      </c>
      <c r="P524" t="s">
        <v>27</v>
      </c>
      <c r="Q524">
        <v>2</v>
      </c>
      <c r="R524">
        <v>2</v>
      </c>
      <c r="S524" t="s">
        <v>28</v>
      </c>
    </row>
    <row r="525" spans="1:19" x14ac:dyDescent="0.3">
      <c r="A525">
        <v>522</v>
      </c>
      <c r="B525" t="s">
        <v>890</v>
      </c>
      <c r="C525" s="6">
        <v>45813</v>
      </c>
      <c r="D525" s="2" t="str">
        <f t="shared" si="16"/>
        <v>June</v>
      </c>
      <c r="E525" t="s">
        <v>333</v>
      </c>
      <c r="F525">
        <v>57</v>
      </c>
      <c r="G525" t="str">
        <f t="shared" si="17"/>
        <v>Senior</v>
      </c>
      <c r="H525" t="s">
        <v>42</v>
      </c>
      <c r="I525" t="s">
        <v>23</v>
      </c>
      <c r="J525" t="s">
        <v>24</v>
      </c>
      <c r="K525" t="s">
        <v>38</v>
      </c>
      <c r="L525" t="s">
        <v>71</v>
      </c>
      <c r="M525">
        <v>4</v>
      </c>
      <c r="N525">
        <v>40111</v>
      </c>
      <c r="O525">
        <v>160444</v>
      </c>
      <c r="P525" t="s">
        <v>116</v>
      </c>
      <c r="Q525">
        <v>5</v>
      </c>
      <c r="R525">
        <v>5</v>
      </c>
      <c r="S525" t="s">
        <v>46</v>
      </c>
    </row>
    <row r="526" spans="1:19" x14ac:dyDescent="0.3">
      <c r="A526">
        <v>523</v>
      </c>
      <c r="B526" t="s">
        <v>891</v>
      </c>
      <c r="C526" s="6">
        <v>45814</v>
      </c>
      <c r="D526" s="2" t="str">
        <f t="shared" si="16"/>
        <v>June</v>
      </c>
      <c r="E526" t="s">
        <v>409</v>
      </c>
      <c r="F526">
        <v>32</v>
      </c>
      <c r="G526" t="str">
        <f t="shared" si="17"/>
        <v>Adult</v>
      </c>
      <c r="H526" t="s">
        <v>42</v>
      </c>
      <c r="I526" t="s">
        <v>49</v>
      </c>
      <c r="J526" t="s">
        <v>32</v>
      </c>
      <c r="K526" t="s">
        <v>38</v>
      </c>
      <c r="L526" t="s">
        <v>96</v>
      </c>
      <c r="M526">
        <v>7</v>
      </c>
      <c r="N526">
        <v>13304</v>
      </c>
      <c r="O526">
        <v>93128</v>
      </c>
      <c r="P526" t="s">
        <v>27</v>
      </c>
      <c r="Q526">
        <v>4</v>
      </c>
      <c r="R526">
        <v>1</v>
      </c>
      <c r="S526" t="s">
        <v>28</v>
      </c>
    </row>
    <row r="527" spans="1:19" x14ac:dyDescent="0.3">
      <c r="A527">
        <v>524</v>
      </c>
      <c r="B527" t="s">
        <v>892</v>
      </c>
      <c r="C527" s="6">
        <v>45815</v>
      </c>
      <c r="D527" s="2" t="str">
        <f t="shared" si="16"/>
        <v>June</v>
      </c>
      <c r="E527" t="s">
        <v>617</v>
      </c>
      <c r="F527">
        <v>52</v>
      </c>
      <c r="G527" t="str">
        <f t="shared" si="17"/>
        <v>Senior</v>
      </c>
      <c r="H527" t="s">
        <v>42</v>
      </c>
      <c r="I527" t="s">
        <v>43</v>
      </c>
      <c r="J527" t="s">
        <v>65</v>
      </c>
      <c r="K527" t="s">
        <v>44</v>
      </c>
      <c r="L527" t="s">
        <v>91</v>
      </c>
      <c r="M527">
        <v>1</v>
      </c>
      <c r="N527">
        <v>36959</v>
      </c>
      <c r="O527">
        <v>36959</v>
      </c>
      <c r="P527" t="s">
        <v>61</v>
      </c>
      <c r="Q527">
        <v>4</v>
      </c>
      <c r="R527">
        <v>1</v>
      </c>
      <c r="S527" t="s">
        <v>46</v>
      </c>
    </row>
    <row r="528" spans="1:19" x14ac:dyDescent="0.3">
      <c r="A528">
        <v>525</v>
      </c>
      <c r="B528" t="s">
        <v>893</v>
      </c>
      <c r="C528" s="6">
        <v>45816</v>
      </c>
      <c r="D528" s="2" t="str">
        <f t="shared" si="16"/>
        <v>June</v>
      </c>
      <c r="E528" t="s">
        <v>371</v>
      </c>
      <c r="F528">
        <v>52</v>
      </c>
      <c r="G528" t="str">
        <f t="shared" si="17"/>
        <v>Senior</v>
      </c>
      <c r="H528" t="s">
        <v>42</v>
      </c>
      <c r="I528" t="s">
        <v>37</v>
      </c>
      <c r="J528" t="s">
        <v>50</v>
      </c>
      <c r="K528" t="s">
        <v>38</v>
      </c>
      <c r="L528" t="s">
        <v>135</v>
      </c>
      <c r="M528">
        <v>7</v>
      </c>
      <c r="N528">
        <v>11995</v>
      </c>
      <c r="O528">
        <v>83965</v>
      </c>
      <c r="P528" t="s">
        <v>116</v>
      </c>
      <c r="Q528">
        <v>7</v>
      </c>
      <c r="R528">
        <v>3</v>
      </c>
      <c r="S528" t="s">
        <v>28</v>
      </c>
    </row>
    <row r="529" spans="1:19" x14ac:dyDescent="0.3">
      <c r="A529">
        <v>526</v>
      </c>
      <c r="B529" t="s">
        <v>894</v>
      </c>
      <c r="C529" s="6">
        <v>45817</v>
      </c>
      <c r="D529" s="2" t="str">
        <f t="shared" si="16"/>
        <v>June</v>
      </c>
      <c r="E529" t="s">
        <v>498</v>
      </c>
      <c r="F529">
        <v>37</v>
      </c>
      <c r="G529" t="str">
        <f t="shared" si="17"/>
        <v>Adult</v>
      </c>
      <c r="H529" t="s">
        <v>42</v>
      </c>
      <c r="I529" t="s">
        <v>80</v>
      </c>
      <c r="J529" t="s">
        <v>65</v>
      </c>
      <c r="K529" t="s">
        <v>51</v>
      </c>
      <c r="L529" t="s">
        <v>74</v>
      </c>
      <c r="M529">
        <v>8</v>
      </c>
      <c r="N529">
        <v>1822</v>
      </c>
      <c r="O529">
        <v>14576</v>
      </c>
      <c r="P529" t="s">
        <v>99</v>
      </c>
      <c r="Q529">
        <v>4</v>
      </c>
      <c r="R529">
        <v>2</v>
      </c>
      <c r="S529" t="s">
        <v>28</v>
      </c>
    </row>
    <row r="530" spans="1:19" x14ac:dyDescent="0.3">
      <c r="A530">
        <v>527</v>
      </c>
      <c r="B530" t="s">
        <v>895</v>
      </c>
      <c r="C530" s="6">
        <v>45818</v>
      </c>
      <c r="D530" s="2" t="str">
        <f t="shared" si="16"/>
        <v>June</v>
      </c>
      <c r="E530" t="s">
        <v>888</v>
      </c>
      <c r="F530">
        <v>24</v>
      </c>
      <c r="G530" t="str">
        <f t="shared" si="17"/>
        <v>Teenager</v>
      </c>
      <c r="H530" t="s">
        <v>42</v>
      </c>
      <c r="I530" t="s">
        <v>43</v>
      </c>
      <c r="J530" t="s">
        <v>32</v>
      </c>
      <c r="K530" t="s">
        <v>38</v>
      </c>
      <c r="L530" t="s">
        <v>39</v>
      </c>
      <c r="M530">
        <v>4</v>
      </c>
      <c r="N530">
        <v>17696</v>
      </c>
      <c r="O530">
        <v>70784</v>
      </c>
      <c r="P530" t="s">
        <v>116</v>
      </c>
      <c r="Q530">
        <v>5</v>
      </c>
      <c r="R530">
        <v>3</v>
      </c>
      <c r="S530" t="s">
        <v>46</v>
      </c>
    </row>
    <row r="531" spans="1:19" x14ac:dyDescent="0.3">
      <c r="A531">
        <v>528</v>
      </c>
      <c r="B531" t="s">
        <v>896</v>
      </c>
      <c r="C531" s="6">
        <v>45819</v>
      </c>
      <c r="D531" s="2" t="str">
        <f t="shared" si="16"/>
        <v>June</v>
      </c>
      <c r="E531" t="s">
        <v>215</v>
      </c>
      <c r="F531">
        <v>24</v>
      </c>
      <c r="G531" t="str">
        <f t="shared" si="17"/>
        <v>Teenager</v>
      </c>
      <c r="H531" t="s">
        <v>42</v>
      </c>
      <c r="I531" t="s">
        <v>102</v>
      </c>
      <c r="J531" t="s">
        <v>65</v>
      </c>
      <c r="K531" t="s">
        <v>33</v>
      </c>
      <c r="L531" t="s">
        <v>173</v>
      </c>
      <c r="M531">
        <v>5</v>
      </c>
      <c r="N531">
        <v>38832</v>
      </c>
      <c r="O531">
        <v>194160</v>
      </c>
      <c r="P531" t="s">
        <v>99</v>
      </c>
      <c r="Q531">
        <v>8</v>
      </c>
      <c r="R531">
        <v>5</v>
      </c>
      <c r="S531" t="s">
        <v>28</v>
      </c>
    </row>
    <row r="532" spans="1:19" x14ac:dyDescent="0.3">
      <c r="A532">
        <v>529</v>
      </c>
      <c r="B532" t="s">
        <v>897</v>
      </c>
      <c r="C532" s="6">
        <v>45820</v>
      </c>
      <c r="D532" s="2" t="str">
        <f t="shared" si="16"/>
        <v>June</v>
      </c>
      <c r="E532" t="s">
        <v>672</v>
      </c>
      <c r="F532">
        <v>37</v>
      </c>
      <c r="G532" t="str">
        <f t="shared" si="17"/>
        <v>Adult</v>
      </c>
      <c r="H532" t="s">
        <v>42</v>
      </c>
      <c r="I532" t="s">
        <v>31</v>
      </c>
      <c r="J532" t="s">
        <v>65</v>
      </c>
      <c r="K532" t="s">
        <v>44</v>
      </c>
      <c r="L532" t="s">
        <v>91</v>
      </c>
      <c r="M532">
        <v>3</v>
      </c>
      <c r="N532">
        <v>38018</v>
      </c>
      <c r="O532">
        <v>114054</v>
      </c>
      <c r="P532" t="s">
        <v>27</v>
      </c>
      <c r="Q532">
        <v>6</v>
      </c>
      <c r="R532">
        <v>5</v>
      </c>
      <c r="S532" t="s">
        <v>28</v>
      </c>
    </row>
    <row r="533" spans="1:19" x14ac:dyDescent="0.3">
      <c r="A533">
        <v>530</v>
      </c>
      <c r="B533" t="s">
        <v>898</v>
      </c>
      <c r="C533" s="6">
        <v>45821</v>
      </c>
      <c r="D533" s="2" t="str">
        <f t="shared" si="16"/>
        <v>June</v>
      </c>
      <c r="E533" t="s">
        <v>41</v>
      </c>
      <c r="F533">
        <v>56</v>
      </c>
      <c r="G533" t="str">
        <f t="shared" si="17"/>
        <v>Senior</v>
      </c>
      <c r="H533" t="s">
        <v>22</v>
      </c>
      <c r="I533" t="s">
        <v>70</v>
      </c>
      <c r="J533" t="s">
        <v>32</v>
      </c>
      <c r="K533" t="s">
        <v>33</v>
      </c>
      <c r="L533" t="s">
        <v>173</v>
      </c>
      <c r="M533">
        <v>9</v>
      </c>
      <c r="N533">
        <v>32778</v>
      </c>
      <c r="O533">
        <v>295002</v>
      </c>
      <c r="P533" t="s">
        <v>61</v>
      </c>
      <c r="Q533">
        <v>9</v>
      </c>
      <c r="R533">
        <v>4</v>
      </c>
      <c r="S533" t="s">
        <v>46</v>
      </c>
    </row>
    <row r="534" spans="1:19" x14ac:dyDescent="0.3">
      <c r="A534">
        <v>531</v>
      </c>
      <c r="B534" t="s">
        <v>899</v>
      </c>
      <c r="C534" s="6">
        <v>45822</v>
      </c>
      <c r="D534" s="2" t="str">
        <f t="shared" si="16"/>
        <v>June</v>
      </c>
      <c r="E534" t="s">
        <v>394</v>
      </c>
      <c r="F534">
        <v>38</v>
      </c>
      <c r="G534" t="str">
        <f t="shared" si="17"/>
        <v>Adult</v>
      </c>
      <c r="H534" t="s">
        <v>42</v>
      </c>
      <c r="I534" t="s">
        <v>120</v>
      </c>
      <c r="J534" t="s">
        <v>50</v>
      </c>
      <c r="K534" t="s">
        <v>33</v>
      </c>
      <c r="L534" t="s">
        <v>34</v>
      </c>
      <c r="M534">
        <v>10</v>
      </c>
      <c r="N534">
        <v>23328</v>
      </c>
      <c r="O534">
        <v>233280</v>
      </c>
      <c r="P534" t="s">
        <v>53</v>
      </c>
      <c r="Q534">
        <v>2</v>
      </c>
      <c r="R534">
        <v>4</v>
      </c>
      <c r="S534" t="s">
        <v>46</v>
      </c>
    </row>
    <row r="535" spans="1:19" x14ac:dyDescent="0.3">
      <c r="A535">
        <v>532</v>
      </c>
      <c r="B535" t="s">
        <v>900</v>
      </c>
      <c r="C535" s="6">
        <v>45823</v>
      </c>
      <c r="D535" s="2" t="str">
        <f t="shared" si="16"/>
        <v>June</v>
      </c>
      <c r="E535" t="s">
        <v>155</v>
      </c>
      <c r="F535">
        <v>51</v>
      </c>
      <c r="G535" t="str">
        <f t="shared" si="17"/>
        <v>Senior</v>
      </c>
      <c r="H535" t="s">
        <v>22</v>
      </c>
      <c r="I535" t="s">
        <v>70</v>
      </c>
      <c r="J535" t="s">
        <v>50</v>
      </c>
      <c r="K535" t="s">
        <v>33</v>
      </c>
      <c r="L535" t="s">
        <v>34</v>
      </c>
      <c r="M535">
        <v>3</v>
      </c>
      <c r="N535">
        <v>1195</v>
      </c>
      <c r="O535">
        <v>3585</v>
      </c>
      <c r="P535" t="s">
        <v>53</v>
      </c>
      <c r="Q535">
        <v>5</v>
      </c>
      <c r="R535">
        <v>1</v>
      </c>
      <c r="S535" t="s">
        <v>46</v>
      </c>
    </row>
    <row r="536" spans="1:19" x14ac:dyDescent="0.3">
      <c r="A536">
        <v>533</v>
      </c>
      <c r="B536" t="s">
        <v>901</v>
      </c>
      <c r="C536" s="6">
        <v>45824</v>
      </c>
      <c r="D536" s="2" t="str">
        <f t="shared" si="16"/>
        <v>June</v>
      </c>
      <c r="E536" t="s">
        <v>841</v>
      </c>
      <c r="F536">
        <v>31</v>
      </c>
      <c r="G536" t="str">
        <f t="shared" si="17"/>
        <v>Adult</v>
      </c>
      <c r="H536" t="s">
        <v>22</v>
      </c>
      <c r="I536" t="s">
        <v>64</v>
      </c>
      <c r="J536" t="s">
        <v>32</v>
      </c>
      <c r="K536" t="s">
        <v>33</v>
      </c>
      <c r="L536" t="s">
        <v>153</v>
      </c>
      <c r="M536">
        <v>7</v>
      </c>
      <c r="N536">
        <v>1866</v>
      </c>
      <c r="O536">
        <v>13062</v>
      </c>
      <c r="P536" t="s">
        <v>27</v>
      </c>
      <c r="Q536">
        <v>4</v>
      </c>
      <c r="R536">
        <v>4</v>
      </c>
      <c r="S536" t="s">
        <v>46</v>
      </c>
    </row>
    <row r="537" spans="1:19" x14ac:dyDescent="0.3">
      <c r="A537">
        <v>534</v>
      </c>
      <c r="B537" t="s">
        <v>902</v>
      </c>
      <c r="C537" s="6">
        <v>45825</v>
      </c>
      <c r="D537" s="2" t="str">
        <f t="shared" si="16"/>
        <v>June</v>
      </c>
      <c r="E537" t="s">
        <v>510</v>
      </c>
      <c r="F537">
        <v>33</v>
      </c>
      <c r="G537" t="str">
        <f t="shared" si="17"/>
        <v>Adult</v>
      </c>
      <c r="H537" t="s">
        <v>22</v>
      </c>
      <c r="I537" t="s">
        <v>37</v>
      </c>
      <c r="J537" t="s">
        <v>32</v>
      </c>
      <c r="K537" t="s">
        <v>44</v>
      </c>
      <c r="L537" t="s">
        <v>45</v>
      </c>
      <c r="M537">
        <v>10</v>
      </c>
      <c r="N537">
        <v>47463</v>
      </c>
      <c r="O537">
        <v>474630</v>
      </c>
      <c r="P537" t="s">
        <v>61</v>
      </c>
      <c r="Q537">
        <v>5</v>
      </c>
      <c r="R537">
        <v>1</v>
      </c>
      <c r="S537" t="s">
        <v>28</v>
      </c>
    </row>
    <row r="538" spans="1:19" x14ac:dyDescent="0.3">
      <c r="A538">
        <v>535</v>
      </c>
      <c r="B538" t="s">
        <v>903</v>
      </c>
      <c r="C538" s="6">
        <v>45826</v>
      </c>
      <c r="D538" s="2" t="str">
        <f t="shared" si="16"/>
        <v>June</v>
      </c>
      <c r="E538" t="s">
        <v>73</v>
      </c>
      <c r="F538">
        <v>56</v>
      </c>
      <c r="G538" t="str">
        <f t="shared" si="17"/>
        <v>Senior</v>
      </c>
      <c r="H538" t="s">
        <v>22</v>
      </c>
      <c r="I538" t="s">
        <v>49</v>
      </c>
      <c r="J538" t="s">
        <v>50</v>
      </c>
      <c r="K538" t="s">
        <v>44</v>
      </c>
      <c r="L538" t="s">
        <v>45</v>
      </c>
      <c r="M538">
        <v>10</v>
      </c>
      <c r="N538">
        <v>35337</v>
      </c>
      <c r="O538">
        <v>353370</v>
      </c>
      <c r="P538" t="s">
        <v>61</v>
      </c>
      <c r="Q538">
        <v>1</v>
      </c>
      <c r="R538">
        <v>5</v>
      </c>
      <c r="S538" t="s">
        <v>46</v>
      </c>
    </row>
    <row r="539" spans="1:19" x14ac:dyDescent="0.3">
      <c r="A539">
        <v>536</v>
      </c>
      <c r="B539" t="s">
        <v>904</v>
      </c>
      <c r="C539" s="6">
        <v>45827</v>
      </c>
      <c r="D539" s="2" t="str">
        <f t="shared" si="16"/>
        <v>June</v>
      </c>
      <c r="E539" t="s">
        <v>498</v>
      </c>
      <c r="F539">
        <v>31</v>
      </c>
      <c r="G539" t="str">
        <f t="shared" si="17"/>
        <v>Adult</v>
      </c>
      <c r="H539" t="s">
        <v>42</v>
      </c>
      <c r="I539" t="s">
        <v>49</v>
      </c>
      <c r="J539" t="s">
        <v>65</v>
      </c>
      <c r="K539" t="s">
        <v>25</v>
      </c>
      <c r="L539" t="s">
        <v>124</v>
      </c>
      <c r="M539">
        <v>7</v>
      </c>
      <c r="N539">
        <v>43060</v>
      </c>
      <c r="O539">
        <v>301420</v>
      </c>
      <c r="P539" t="s">
        <v>53</v>
      </c>
      <c r="Q539">
        <v>1</v>
      </c>
      <c r="R539">
        <v>4</v>
      </c>
      <c r="S539" t="s">
        <v>46</v>
      </c>
    </row>
    <row r="540" spans="1:19" x14ac:dyDescent="0.3">
      <c r="A540">
        <v>537</v>
      </c>
      <c r="B540" t="s">
        <v>905</v>
      </c>
      <c r="C540" s="6">
        <v>45828</v>
      </c>
      <c r="D540" s="2" t="str">
        <f t="shared" si="16"/>
        <v>June</v>
      </c>
      <c r="E540" t="s">
        <v>906</v>
      </c>
      <c r="F540">
        <v>28</v>
      </c>
      <c r="G540" t="str">
        <f t="shared" si="17"/>
        <v>Teenager</v>
      </c>
      <c r="H540" t="s">
        <v>42</v>
      </c>
      <c r="I540" t="s">
        <v>102</v>
      </c>
      <c r="J540" t="s">
        <v>50</v>
      </c>
      <c r="K540" t="s">
        <v>25</v>
      </c>
      <c r="L540" t="s">
        <v>189</v>
      </c>
      <c r="M540">
        <v>4</v>
      </c>
      <c r="N540">
        <v>20064</v>
      </c>
      <c r="O540">
        <v>80256</v>
      </c>
      <c r="P540" t="s">
        <v>53</v>
      </c>
      <c r="Q540">
        <v>10</v>
      </c>
      <c r="R540">
        <v>4</v>
      </c>
      <c r="S540" t="s">
        <v>46</v>
      </c>
    </row>
    <row r="541" spans="1:19" x14ac:dyDescent="0.3">
      <c r="A541">
        <v>538</v>
      </c>
      <c r="B541" t="s">
        <v>907</v>
      </c>
      <c r="C541" s="6">
        <v>45829</v>
      </c>
      <c r="D541" s="2" t="str">
        <f t="shared" si="16"/>
        <v>June</v>
      </c>
      <c r="E541" t="s">
        <v>506</v>
      </c>
      <c r="F541">
        <v>37</v>
      </c>
      <c r="G541" t="str">
        <f t="shared" si="17"/>
        <v>Adult</v>
      </c>
      <c r="H541" t="s">
        <v>42</v>
      </c>
      <c r="I541" t="s">
        <v>23</v>
      </c>
      <c r="J541" t="s">
        <v>50</v>
      </c>
      <c r="K541" t="s">
        <v>51</v>
      </c>
      <c r="L541" t="s">
        <v>74</v>
      </c>
      <c r="M541">
        <v>2</v>
      </c>
      <c r="N541">
        <v>207</v>
      </c>
      <c r="O541">
        <v>414</v>
      </c>
      <c r="P541" t="s">
        <v>116</v>
      </c>
      <c r="Q541">
        <v>2</v>
      </c>
      <c r="R541">
        <v>2</v>
      </c>
      <c r="S541" t="s">
        <v>46</v>
      </c>
    </row>
    <row r="542" spans="1:19" x14ac:dyDescent="0.3">
      <c r="A542">
        <v>539</v>
      </c>
      <c r="B542" t="s">
        <v>908</v>
      </c>
      <c r="C542" s="6">
        <v>45830</v>
      </c>
      <c r="D542" s="2" t="str">
        <f t="shared" si="16"/>
        <v>June</v>
      </c>
      <c r="E542" t="s">
        <v>909</v>
      </c>
      <c r="F542">
        <v>30</v>
      </c>
      <c r="G542" t="str">
        <f t="shared" si="17"/>
        <v>Adult</v>
      </c>
      <c r="H542" t="s">
        <v>42</v>
      </c>
      <c r="I542" t="s">
        <v>64</v>
      </c>
      <c r="J542" t="s">
        <v>50</v>
      </c>
      <c r="K542" t="s">
        <v>33</v>
      </c>
      <c r="L542" t="s">
        <v>89</v>
      </c>
      <c r="M542">
        <v>5</v>
      </c>
      <c r="N542">
        <v>46085</v>
      </c>
      <c r="O542">
        <v>230425</v>
      </c>
      <c r="P542" t="s">
        <v>116</v>
      </c>
      <c r="Q542">
        <v>4</v>
      </c>
      <c r="R542">
        <v>3</v>
      </c>
      <c r="S542" t="s">
        <v>28</v>
      </c>
    </row>
    <row r="543" spans="1:19" x14ac:dyDescent="0.3">
      <c r="A543">
        <v>540</v>
      </c>
      <c r="B543" t="s">
        <v>910</v>
      </c>
      <c r="C543" s="6">
        <v>45831</v>
      </c>
      <c r="D543" s="2" t="str">
        <f t="shared" si="16"/>
        <v>June</v>
      </c>
      <c r="E543" t="s">
        <v>203</v>
      </c>
      <c r="F543">
        <v>21</v>
      </c>
      <c r="G543" t="str">
        <f t="shared" si="17"/>
        <v>Teenager</v>
      </c>
      <c r="H543" t="s">
        <v>42</v>
      </c>
      <c r="I543" t="s">
        <v>31</v>
      </c>
      <c r="J543" t="s">
        <v>65</v>
      </c>
      <c r="K543" t="s">
        <v>38</v>
      </c>
      <c r="L543" t="s">
        <v>81</v>
      </c>
      <c r="M543">
        <v>7</v>
      </c>
      <c r="N543">
        <v>2302</v>
      </c>
      <c r="O543">
        <v>16114</v>
      </c>
      <c r="P543" t="s">
        <v>61</v>
      </c>
      <c r="Q543">
        <v>6</v>
      </c>
      <c r="R543">
        <v>5</v>
      </c>
      <c r="S543" t="s">
        <v>28</v>
      </c>
    </row>
    <row r="544" spans="1:19" x14ac:dyDescent="0.3">
      <c r="A544">
        <v>541</v>
      </c>
      <c r="B544" t="s">
        <v>911</v>
      </c>
      <c r="C544" s="6">
        <v>45832</v>
      </c>
      <c r="D544" s="2" t="str">
        <f t="shared" si="16"/>
        <v>June</v>
      </c>
      <c r="E544" t="s">
        <v>912</v>
      </c>
      <c r="F544">
        <v>54</v>
      </c>
      <c r="G544" t="str">
        <f t="shared" si="17"/>
        <v>Senior</v>
      </c>
      <c r="H544" t="s">
        <v>22</v>
      </c>
      <c r="I544" t="s">
        <v>23</v>
      </c>
      <c r="J544" t="s">
        <v>32</v>
      </c>
      <c r="K544" t="s">
        <v>38</v>
      </c>
      <c r="L544" t="s">
        <v>135</v>
      </c>
      <c r="M544">
        <v>10</v>
      </c>
      <c r="N544">
        <v>31193</v>
      </c>
      <c r="O544">
        <v>311930</v>
      </c>
      <c r="P544" t="s">
        <v>116</v>
      </c>
      <c r="Q544">
        <v>7</v>
      </c>
      <c r="R544">
        <v>3</v>
      </c>
      <c r="S544" t="s">
        <v>46</v>
      </c>
    </row>
    <row r="545" spans="1:19" x14ac:dyDescent="0.3">
      <c r="A545">
        <v>542</v>
      </c>
      <c r="B545" t="s">
        <v>913</v>
      </c>
      <c r="C545" s="6">
        <v>45833</v>
      </c>
      <c r="D545" s="2" t="str">
        <f t="shared" si="16"/>
        <v>June</v>
      </c>
      <c r="E545" t="s">
        <v>914</v>
      </c>
      <c r="F545">
        <v>59</v>
      </c>
      <c r="G545" t="str">
        <f t="shared" si="17"/>
        <v>Senior</v>
      </c>
      <c r="H545" t="s">
        <v>22</v>
      </c>
      <c r="I545" t="s">
        <v>120</v>
      </c>
      <c r="J545" t="s">
        <v>50</v>
      </c>
      <c r="K545" t="s">
        <v>33</v>
      </c>
      <c r="L545" t="s">
        <v>173</v>
      </c>
      <c r="M545">
        <v>10</v>
      </c>
      <c r="N545">
        <v>17789</v>
      </c>
      <c r="O545">
        <v>177890</v>
      </c>
      <c r="P545" t="s">
        <v>53</v>
      </c>
      <c r="Q545">
        <v>4</v>
      </c>
      <c r="R545">
        <v>1</v>
      </c>
      <c r="S545" t="s">
        <v>28</v>
      </c>
    </row>
    <row r="546" spans="1:19" x14ac:dyDescent="0.3">
      <c r="A546">
        <v>543</v>
      </c>
      <c r="B546" t="s">
        <v>915</v>
      </c>
      <c r="C546" s="6">
        <v>45834</v>
      </c>
      <c r="D546" s="2" t="str">
        <f t="shared" si="16"/>
        <v>June</v>
      </c>
      <c r="E546" t="s">
        <v>916</v>
      </c>
      <c r="F546">
        <v>49</v>
      </c>
      <c r="G546" t="str">
        <f t="shared" si="17"/>
        <v>Adult</v>
      </c>
      <c r="H546" t="s">
        <v>22</v>
      </c>
      <c r="I546" t="s">
        <v>102</v>
      </c>
      <c r="J546" t="s">
        <v>32</v>
      </c>
      <c r="K546" t="s">
        <v>33</v>
      </c>
      <c r="L546" t="s">
        <v>153</v>
      </c>
      <c r="M546">
        <v>4</v>
      </c>
      <c r="N546">
        <v>14901</v>
      </c>
      <c r="O546">
        <v>59604</v>
      </c>
      <c r="P546" t="s">
        <v>116</v>
      </c>
      <c r="Q546">
        <v>4</v>
      </c>
      <c r="R546">
        <v>1</v>
      </c>
      <c r="S546" t="s">
        <v>46</v>
      </c>
    </row>
    <row r="547" spans="1:19" x14ac:dyDescent="0.3">
      <c r="A547">
        <v>544</v>
      </c>
      <c r="B547" t="s">
        <v>917</v>
      </c>
      <c r="C547" s="6">
        <v>45835</v>
      </c>
      <c r="D547" s="2" t="str">
        <f t="shared" si="16"/>
        <v>June</v>
      </c>
      <c r="E547" t="s">
        <v>296</v>
      </c>
      <c r="F547">
        <v>37</v>
      </c>
      <c r="G547" t="str">
        <f t="shared" si="17"/>
        <v>Adult</v>
      </c>
      <c r="H547" t="s">
        <v>22</v>
      </c>
      <c r="I547" t="s">
        <v>23</v>
      </c>
      <c r="J547" t="s">
        <v>50</v>
      </c>
      <c r="K547" t="s">
        <v>33</v>
      </c>
      <c r="L547" t="s">
        <v>153</v>
      </c>
      <c r="M547">
        <v>10</v>
      </c>
      <c r="N547">
        <v>2812</v>
      </c>
      <c r="O547">
        <v>28120</v>
      </c>
      <c r="P547" t="s">
        <v>27</v>
      </c>
      <c r="Q547">
        <v>6</v>
      </c>
      <c r="R547">
        <v>5</v>
      </c>
      <c r="S547" t="s">
        <v>28</v>
      </c>
    </row>
    <row r="548" spans="1:19" x14ac:dyDescent="0.3">
      <c r="A548">
        <v>545</v>
      </c>
      <c r="B548" t="s">
        <v>918</v>
      </c>
      <c r="C548" s="6">
        <v>45836</v>
      </c>
      <c r="D548" s="2" t="str">
        <f t="shared" si="16"/>
        <v>June</v>
      </c>
      <c r="E548" t="s">
        <v>919</v>
      </c>
      <c r="F548">
        <v>57</v>
      </c>
      <c r="G548" t="str">
        <f t="shared" si="17"/>
        <v>Senior</v>
      </c>
      <c r="H548" t="s">
        <v>42</v>
      </c>
      <c r="I548" t="s">
        <v>49</v>
      </c>
      <c r="J548" t="s">
        <v>65</v>
      </c>
      <c r="K548" t="s">
        <v>51</v>
      </c>
      <c r="L548" t="s">
        <v>52</v>
      </c>
      <c r="M548">
        <v>7</v>
      </c>
      <c r="N548">
        <v>1636</v>
      </c>
      <c r="O548">
        <v>11452</v>
      </c>
      <c r="P548" t="s">
        <v>53</v>
      </c>
      <c r="Q548">
        <v>10</v>
      </c>
      <c r="R548">
        <v>1</v>
      </c>
      <c r="S548" t="s">
        <v>28</v>
      </c>
    </row>
    <row r="549" spans="1:19" x14ac:dyDescent="0.3">
      <c r="A549">
        <v>546</v>
      </c>
      <c r="B549" t="s">
        <v>920</v>
      </c>
      <c r="C549" s="6">
        <v>45837</v>
      </c>
      <c r="D549" s="2" t="str">
        <f t="shared" si="16"/>
        <v>June</v>
      </c>
      <c r="E549" t="s">
        <v>921</v>
      </c>
      <c r="F549">
        <v>58</v>
      </c>
      <c r="G549" t="str">
        <f t="shared" si="17"/>
        <v>Senior</v>
      </c>
      <c r="H549" t="s">
        <v>42</v>
      </c>
      <c r="I549" t="s">
        <v>43</v>
      </c>
      <c r="J549" t="s">
        <v>50</v>
      </c>
      <c r="K549" t="s">
        <v>25</v>
      </c>
      <c r="L549" t="s">
        <v>124</v>
      </c>
      <c r="M549">
        <v>2</v>
      </c>
      <c r="N549">
        <v>9375</v>
      </c>
      <c r="O549">
        <v>18750</v>
      </c>
      <c r="P549" t="s">
        <v>99</v>
      </c>
      <c r="Q549">
        <v>10</v>
      </c>
      <c r="R549">
        <v>4</v>
      </c>
      <c r="S549" t="s">
        <v>28</v>
      </c>
    </row>
    <row r="550" spans="1:19" x14ac:dyDescent="0.3">
      <c r="A550">
        <v>547</v>
      </c>
      <c r="B550" t="s">
        <v>922</v>
      </c>
      <c r="C550" s="6">
        <v>45838</v>
      </c>
      <c r="D550" s="2" t="str">
        <f t="shared" si="16"/>
        <v>June</v>
      </c>
      <c r="E550" t="s">
        <v>674</v>
      </c>
      <c r="F550">
        <v>30</v>
      </c>
      <c r="G550" t="str">
        <f t="shared" si="17"/>
        <v>Adult</v>
      </c>
      <c r="H550" t="s">
        <v>22</v>
      </c>
      <c r="I550" t="s">
        <v>70</v>
      </c>
      <c r="J550" t="s">
        <v>50</v>
      </c>
      <c r="K550" t="s">
        <v>38</v>
      </c>
      <c r="L550" t="s">
        <v>96</v>
      </c>
      <c r="M550">
        <v>9</v>
      </c>
      <c r="N550">
        <v>28462</v>
      </c>
      <c r="O550">
        <v>256158</v>
      </c>
      <c r="P550" t="s">
        <v>116</v>
      </c>
      <c r="Q550">
        <v>10</v>
      </c>
      <c r="R550">
        <v>1</v>
      </c>
      <c r="S550" t="s">
        <v>28</v>
      </c>
    </row>
    <row r="551" spans="1:19" x14ac:dyDescent="0.3">
      <c r="A551">
        <v>548</v>
      </c>
      <c r="B551" t="s">
        <v>923</v>
      </c>
      <c r="C551" s="6">
        <v>45839</v>
      </c>
      <c r="D551" s="2" t="str">
        <f t="shared" si="16"/>
        <v>July</v>
      </c>
      <c r="E551" t="s">
        <v>298</v>
      </c>
      <c r="F551">
        <v>24</v>
      </c>
      <c r="G551" t="str">
        <f t="shared" si="17"/>
        <v>Teenager</v>
      </c>
      <c r="H551" t="s">
        <v>42</v>
      </c>
      <c r="I551" t="s">
        <v>31</v>
      </c>
      <c r="J551" t="s">
        <v>24</v>
      </c>
      <c r="K551" t="s">
        <v>44</v>
      </c>
      <c r="L551" t="s">
        <v>178</v>
      </c>
      <c r="M551">
        <v>3</v>
      </c>
      <c r="N551">
        <v>41482</v>
      </c>
      <c r="O551">
        <v>124446</v>
      </c>
      <c r="P551" t="s">
        <v>99</v>
      </c>
      <c r="Q551">
        <v>4</v>
      </c>
      <c r="R551">
        <v>3</v>
      </c>
      <c r="S551" t="s">
        <v>46</v>
      </c>
    </row>
    <row r="552" spans="1:19" x14ac:dyDescent="0.3">
      <c r="A552">
        <v>549</v>
      </c>
      <c r="B552" t="s">
        <v>924</v>
      </c>
      <c r="C552" s="6">
        <v>45840</v>
      </c>
      <c r="D552" s="2" t="str">
        <f t="shared" si="16"/>
        <v>July</v>
      </c>
      <c r="E552" t="s">
        <v>41</v>
      </c>
      <c r="F552">
        <v>28</v>
      </c>
      <c r="G552" t="str">
        <f t="shared" si="17"/>
        <v>Teenager</v>
      </c>
      <c r="H552" t="s">
        <v>42</v>
      </c>
      <c r="I552" t="s">
        <v>31</v>
      </c>
      <c r="J552" t="s">
        <v>32</v>
      </c>
      <c r="K552" t="s">
        <v>33</v>
      </c>
      <c r="L552" t="s">
        <v>173</v>
      </c>
      <c r="M552">
        <v>3</v>
      </c>
      <c r="N552">
        <v>46371</v>
      </c>
      <c r="O552">
        <v>139113</v>
      </c>
      <c r="P552" t="s">
        <v>61</v>
      </c>
      <c r="Q552">
        <v>9</v>
      </c>
      <c r="R552">
        <v>1</v>
      </c>
      <c r="S552" t="s">
        <v>46</v>
      </c>
    </row>
    <row r="553" spans="1:19" x14ac:dyDescent="0.3">
      <c r="A553">
        <v>550</v>
      </c>
      <c r="B553" t="s">
        <v>925</v>
      </c>
      <c r="C553" s="6">
        <v>45841</v>
      </c>
      <c r="D553" s="2" t="str">
        <f t="shared" si="16"/>
        <v>July</v>
      </c>
      <c r="E553" t="s">
        <v>192</v>
      </c>
      <c r="F553">
        <v>58</v>
      </c>
      <c r="G553" t="str">
        <f t="shared" si="17"/>
        <v>Senior</v>
      </c>
      <c r="H553" t="s">
        <v>42</v>
      </c>
      <c r="I553" t="s">
        <v>37</v>
      </c>
      <c r="J553" t="s">
        <v>65</v>
      </c>
      <c r="K553" t="s">
        <v>38</v>
      </c>
      <c r="L553" t="s">
        <v>71</v>
      </c>
      <c r="M553">
        <v>2</v>
      </c>
      <c r="N553">
        <v>18337</v>
      </c>
      <c r="O553">
        <v>36674</v>
      </c>
      <c r="P553" t="s">
        <v>99</v>
      </c>
      <c r="Q553">
        <v>6</v>
      </c>
      <c r="R553">
        <v>1</v>
      </c>
      <c r="S553" t="s">
        <v>46</v>
      </c>
    </row>
    <row r="554" spans="1:19" x14ac:dyDescent="0.3">
      <c r="A554">
        <v>551</v>
      </c>
      <c r="B554" t="s">
        <v>926</v>
      </c>
      <c r="C554" s="6">
        <v>45842</v>
      </c>
      <c r="D554" s="2" t="str">
        <f t="shared" si="16"/>
        <v>July</v>
      </c>
      <c r="E554" t="s">
        <v>463</v>
      </c>
      <c r="F554">
        <v>48</v>
      </c>
      <c r="G554" t="str">
        <f t="shared" si="17"/>
        <v>Adult</v>
      </c>
      <c r="H554" t="s">
        <v>42</v>
      </c>
      <c r="I554" t="s">
        <v>37</v>
      </c>
      <c r="J554" t="s">
        <v>65</v>
      </c>
      <c r="K554" t="s">
        <v>33</v>
      </c>
      <c r="L554" t="s">
        <v>34</v>
      </c>
      <c r="M554">
        <v>3</v>
      </c>
      <c r="N554">
        <v>38853</v>
      </c>
      <c r="O554">
        <v>116559</v>
      </c>
      <c r="P554" t="s">
        <v>53</v>
      </c>
      <c r="Q554">
        <v>10</v>
      </c>
      <c r="R554">
        <v>2</v>
      </c>
      <c r="S554" t="s">
        <v>46</v>
      </c>
    </row>
    <row r="555" spans="1:19" x14ac:dyDescent="0.3">
      <c r="A555">
        <v>552</v>
      </c>
      <c r="B555" t="s">
        <v>927</v>
      </c>
      <c r="C555" s="6">
        <v>45843</v>
      </c>
      <c r="D555" s="2" t="str">
        <f t="shared" si="16"/>
        <v>July</v>
      </c>
      <c r="E555" t="s">
        <v>647</v>
      </c>
      <c r="F555">
        <v>54</v>
      </c>
      <c r="G555" t="str">
        <f t="shared" si="17"/>
        <v>Senior</v>
      </c>
      <c r="H555" t="s">
        <v>22</v>
      </c>
      <c r="I555" t="s">
        <v>31</v>
      </c>
      <c r="J555" t="s">
        <v>65</v>
      </c>
      <c r="K555" t="s">
        <v>38</v>
      </c>
      <c r="L555" t="s">
        <v>96</v>
      </c>
      <c r="M555">
        <v>2</v>
      </c>
      <c r="N555">
        <v>46026</v>
      </c>
      <c r="O555">
        <v>92052</v>
      </c>
      <c r="P555" t="s">
        <v>53</v>
      </c>
      <c r="Q555">
        <v>6</v>
      </c>
      <c r="R555">
        <v>4</v>
      </c>
      <c r="S555" t="s">
        <v>46</v>
      </c>
    </row>
    <row r="556" spans="1:19" x14ac:dyDescent="0.3">
      <c r="A556">
        <v>553</v>
      </c>
      <c r="B556" t="s">
        <v>928</v>
      </c>
      <c r="C556" s="6">
        <v>45844</v>
      </c>
      <c r="D556" s="2" t="str">
        <f t="shared" si="16"/>
        <v>July</v>
      </c>
      <c r="E556" t="s">
        <v>421</v>
      </c>
      <c r="F556">
        <v>49</v>
      </c>
      <c r="G556" t="str">
        <f t="shared" si="17"/>
        <v>Adult</v>
      </c>
      <c r="H556" t="s">
        <v>22</v>
      </c>
      <c r="I556" t="s">
        <v>64</v>
      </c>
      <c r="J556" t="s">
        <v>32</v>
      </c>
      <c r="K556" t="s">
        <v>38</v>
      </c>
      <c r="L556" t="s">
        <v>135</v>
      </c>
      <c r="M556">
        <v>9</v>
      </c>
      <c r="N556">
        <v>26636</v>
      </c>
      <c r="O556">
        <v>239724</v>
      </c>
      <c r="P556" t="s">
        <v>116</v>
      </c>
      <c r="Q556">
        <v>9</v>
      </c>
      <c r="R556">
        <v>5</v>
      </c>
      <c r="S556" t="s">
        <v>46</v>
      </c>
    </row>
    <row r="557" spans="1:19" x14ac:dyDescent="0.3">
      <c r="A557">
        <v>554</v>
      </c>
      <c r="B557" t="s">
        <v>929</v>
      </c>
      <c r="C557" s="6">
        <v>45845</v>
      </c>
      <c r="D557" s="2" t="str">
        <f t="shared" si="16"/>
        <v>July</v>
      </c>
      <c r="E557" t="s">
        <v>930</v>
      </c>
      <c r="F557">
        <v>53</v>
      </c>
      <c r="G557" t="str">
        <f t="shared" si="17"/>
        <v>Senior</v>
      </c>
      <c r="H557" t="s">
        <v>22</v>
      </c>
      <c r="I557" t="s">
        <v>80</v>
      </c>
      <c r="J557" t="s">
        <v>32</v>
      </c>
      <c r="K557" t="s">
        <v>25</v>
      </c>
      <c r="L557" t="s">
        <v>124</v>
      </c>
      <c r="M557">
        <v>5</v>
      </c>
      <c r="N557">
        <v>27782</v>
      </c>
      <c r="O557">
        <v>138910</v>
      </c>
      <c r="P557" t="s">
        <v>99</v>
      </c>
      <c r="Q557">
        <v>9</v>
      </c>
      <c r="R557">
        <v>3</v>
      </c>
      <c r="S557" t="s">
        <v>46</v>
      </c>
    </row>
    <row r="558" spans="1:19" x14ac:dyDescent="0.3">
      <c r="A558">
        <v>555</v>
      </c>
      <c r="B558" t="s">
        <v>931</v>
      </c>
      <c r="C558" s="6">
        <v>45846</v>
      </c>
      <c r="D558" s="2" t="str">
        <f t="shared" si="16"/>
        <v>July</v>
      </c>
      <c r="E558" t="s">
        <v>674</v>
      </c>
      <c r="F558">
        <v>30</v>
      </c>
      <c r="G558" t="str">
        <f t="shared" si="17"/>
        <v>Adult</v>
      </c>
      <c r="H558" t="s">
        <v>42</v>
      </c>
      <c r="I558" t="s">
        <v>31</v>
      </c>
      <c r="J558" t="s">
        <v>32</v>
      </c>
      <c r="K558" t="s">
        <v>44</v>
      </c>
      <c r="L558" t="s">
        <v>91</v>
      </c>
      <c r="M558">
        <v>5</v>
      </c>
      <c r="N558">
        <v>37511</v>
      </c>
      <c r="O558">
        <v>187555</v>
      </c>
      <c r="P558" t="s">
        <v>99</v>
      </c>
      <c r="Q558">
        <v>10</v>
      </c>
      <c r="R558">
        <v>4</v>
      </c>
      <c r="S558" t="s">
        <v>46</v>
      </c>
    </row>
    <row r="559" spans="1:19" x14ac:dyDescent="0.3">
      <c r="A559">
        <v>556</v>
      </c>
      <c r="B559" t="s">
        <v>932</v>
      </c>
      <c r="C559" s="6">
        <v>45847</v>
      </c>
      <c r="D559" s="2" t="str">
        <f t="shared" si="16"/>
        <v>July</v>
      </c>
      <c r="E559" t="s">
        <v>324</v>
      </c>
      <c r="F559">
        <v>36</v>
      </c>
      <c r="G559" t="str">
        <f t="shared" si="17"/>
        <v>Adult</v>
      </c>
      <c r="H559" t="s">
        <v>42</v>
      </c>
      <c r="I559" t="s">
        <v>43</v>
      </c>
      <c r="J559" t="s">
        <v>32</v>
      </c>
      <c r="K559" t="s">
        <v>51</v>
      </c>
      <c r="L559" t="s">
        <v>111</v>
      </c>
      <c r="M559">
        <v>6</v>
      </c>
      <c r="N559">
        <v>1019</v>
      </c>
      <c r="O559">
        <v>6114</v>
      </c>
      <c r="P559" t="s">
        <v>61</v>
      </c>
      <c r="Q559">
        <v>9</v>
      </c>
      <c r="R559">
        <v>3</v>
      </c>
      <c r="S559" t="s">
        <v>28</v>
      </c>
    </row>
    <row r="560" spans="1:19" x14ac:dyDescent="0.3">
      <c r="A560">
        <v>557</v>
      </c>
      <c r="B560" t="s">
        <v>933</v>
      </c>
      <c r="C560" s="6">
        <v>45848</v>
      </c>
      <c r="D560" s="2" t="str">
        <f t="shared" si="16"/>
        <v>July</v>
      </c>
      <c r="E560" t="s">
        <v>934</v>
      </c>
      <c r="F560">
        <v>23</v>
      </c>
      <c r="G560" t="str">
        <f t="shared" si="17"/>
        <v>Teenager</v>
      </c>
      <c r="H560" t="s">
        <v>42</v>
      </c>
      <c r="I560" t="s">
        <v>49</v>
      </c>
      <c r="J560" t="s">
        <v>24</v>
      </c>
      <c r="K560" t="s">
        <v>25</v>
      </c>
      <c r="L560" t="s">
        <v>189</v>
      </c>
      <c r="M560">
        <v>7</v>
      </c>
      <c r="N560">
        <v>34858</v>
      </c>
      <c r="O560">
        <v>244006</v>
      </c>
      <c r="P560" t="s">
        <v>116</v>
      </c>
      <c r="Q560">
        <v>4</v>
      </c>
      <c r="R560">
        <v>1</v>
      </c>
      <c r="S560" t="s">
        <v>46</v>
      </c>
    </row>
    <row r="561" spans="1:19" x14ac:dyDescent="0.3">
      <c r="A561">
        <v>558</v>
      </c>
      <c r="B561" t="s">
        <v>935</v>
      </c>
      <c r="C561" s="6">
        <v>45849</v>
      </c>
      <c r="D561" s="2" t="str">
        <f t="shared" si="16"/>
        <v>July</v>
      </c>
      <c r="E561" t="s">
        <v>916</v>
      </c>
      <c r="F561">
        <v>36</v>
      </c>
      <c r="G561" t="str">
        <f t="shared" si="17"/>
        <v>Adult</v>
      </c>
      <c r="H561" t="s">
        <v>22</v>
      </c>
      <c r="I561" t="s">
        <v>120</v>
      </c>
      <c r="J561" t="s">
        <v>50</v>
      </c>
      <c r="K561" t="s">
        <v>38</v>
      </c>
      <c r="L561" t="s">
        <v>71</v>
      </c>
      <c r="M561">
        <v>4</v>
      </c>
      <c r="N561">
        <v>13885</v>
      </c>
      <c r="O561">
        <v>55540</v>
      </c>
      <c r="P561" t="s">
        <v>61</v>
      </c>
      <c r="Q561">
        <v>10</v>
      </c>
      <c r="R561">
        <v>1</v>
      </c>
      <c r="S561" t="s">
        <v>46</v>
      </c>
    </row>
    <row r="562" spans="1:19" x14ac:dyDescent="0.3">
      <c r="A562">
        <v>559</v>
      </c>
      <c r="B562" t="s">
        <v>936</v>
      </c>
      <c r="C562" s="6">
        <v>45850</v>
      </c>
      <c r="D562" s="2" t="str">
        <f t="shared" si="16"/>
        <v>July</v>
      </c>
      <c r="E562" t="s">
        <v>302</v>
      </c>
      <c r="F562">
        <v>60</v>
      </c>
      <c r="G562" t="str">
        <f t="shared" si="17"/>
        <v>Senior</v>
      </c>
      <c r="H562" t="s">
        <v>22</v>
      </c>
      <c r="I562" t="s">
        <v>37</v>
      </c>
      <c r="J562" t="s">
        <v>32</v>
      </c>
      <c r="K562" t="s">
        <v>33</v>
      </c>
      <c r="L562" t="s">
        <v>160</v>
      </c>
      <c r="M562">
        <v>2</v>
      </c>
      <c r="N562">
        <v>22978</v>
      </c>
      <c r="O562">
        <v>45956</v>
      </c>
      <c r="P562" t="s">
        <v>27</v>
      </c>
      <c r="Q562">
        <v>3</v>
      </c>
      <c r="R562">
        <v>4</v>
      </c>
      <c r="S562" t="s">
        <v>28</v>
      </c>
    </row>
    <row r="563" spans="1:19" x14ac:dyDescent="0.3">
      <c r="A563">
        <v>560</v>
      </c>
      <c r="B563" t="s">
        <v>937</v>
      </c>
      <c r="C563" s="6">
        <v>45851</v>
      </c>
      <c r="D563" s="2" t="str">
        <f t="shared" si="16"/>
        <v>July</v>
      </c>
      <c r="E563" t="s">
        <v>938</v>
      </c>
      <c r="F563">
        <v>30</v>
      </c>
      <c r="G563" t="str">
        <f t="shared" si="17"/>
        <v>Adult</v>
      </c>
      <c r="H563" t="s">
        <v>42</v>
      </c>
      <c r="I563" t="s">
        <v>43</v>
      </c>
      <c r="J563" t="s">
        <v>24</v>
      </c>
      <c r="K563" t="s">
        <v>38</v>
      </c>
      <c r="L563" t="s">
        <v>96</v>
      </c>
      <c r="M563">
        <v>9</v>
      </c>
      <c r="N563">
        <v>38099</v>
      </c>
      <c r="O563">
        <v>342891</v>
      </c>
      <c r="P563" t="s">
        <v>61</v>
      </c>
      <c r="Q563">
        <v>2</v>
      </c>
      <c r="R563">
        <v>2</v>
      </c>
      <c r="S563" t="s">
        <v>46</v>
      </c>
    </row>
    <row r="564" spans="1:19" x14ac:dyDescent="0.3">
      <c r="A564">
        <v>561</v>
      </c>
      <c r="B564" t="s">
        <v>939</v>
      </c>
      <c r="C564" s="6">
        <v>45852</v>
      </c>
      <c r="D564" s="2" t="str">
        <f t="shared" si="16"/>
        <v>July</v>
      </c>
      <c r="E564" t="s">
        <v>313</v>
      </c>
      <c r="F564">
        <v>54</v>
      </c>
      <c r="G564" t="str">
        <f t="shared" si="17"/>
        <v>Senior</v>
      </c>
      <c r="H564" t="s">
        <v>22</v>
      </c>
      <c r="I564" t="s">
        <v>49</v>
      </c>
      <c r="J564" t="s">
        <v>24</v>
      </c>
      <c r="K564" t="s">
        <v>33</v>
      </c>
      <c r="L564" t="s">
        <v>160</v>
      </c>
      <c r="M564">
        <v>3</v>
      </c>
      <c r="N564">
        <v>32152</v>
      </c>
      <c r="O564">
        <v>96456</v>
      </c>
      <c r="P564" t="s">
        <v>116</v>
      </c>
      <c r="Q564">
        <v>6</v>
      </c>
      <c r="R564">
        <v>3</v>
      </c>
      <c r="S564" t="s">
        <v>28</v>
      </c>
    </row>
    <row r="565" spans="1:19" x14ac:dyDescent="0.3">
      <c r="A565">
        <v>562</v>
      </c>
      <c r="B565" t="s">
        <v>940</v>
      </c>
      <c r="C565" s="6">
        <v>45853</v>
      </c>
      <c r="D565" s="2" t="str">
        <f t="shared" si="16"/>
        <v>July</v>
      </c>
      <c r="E565" t="s">
        <v>67</v>
      </c>
      <c r="F565">
        <v>28</v>
      </c>
      <c r="G565" t="str">
        <f t="shared" si="17"/>
        <v>Teenager</v>
      </c>
      <c r="H565" t="s">
        <v>42</v>
      </c>
      <c r="I565" t="s">
        <v>80</v>
      </c>
      <c r="J565" t="s">
        <v>24</v>
      </c>
      <c r="K565" t="s">
        <v>25</v>
      </c>
      <c r="L565" t="s">
        <v>189</v>
      </c>
      <c r="M565">
        <v>7</v>
      </c>
      <c r="N565">
        <v>41716</v>
      </c>
      <c r="O565">
        <v>292012</v>
      </c>
      <c r="P565" t="s">
        <v>27</v>
      </c>
      <c r="Q565">
        <v>7</v>
      </c>
      <c r="R565">
        <v>4</v>
      </c>
      <c r="S565" t="s">
        <v>28</v>
      </c>
    </row>
    <row r="566" spans="1:19" x14ac:dyDescent="0.3">
      <c r="A566">
        <v>563</v>
      </c>
      <c r="B566" t="s">
        <v>941</v>
      </c>
      <c r="C566" s="6">
        <v>45854</v>
      </c>
      <c r="D566" s="2" t="str">
        <f t="shared" si="16"/>
        <v>July</v>
      </c>
      <c r="E566" t="s">
        <v>119</v>
      </c>
      <c r="F566">
        <v>38</v>
      </c>
      <c r="G566" t="str">
        <f t="shared" si="17"/>
        <v>Adult</v>
      </c>
      <c r="H566" t="s">
        <v>42</v>
      </c>
      <c r="I566" t="s">
        <v>43</v>
      </c>
      <c r="J566" t="s">
        <v>24</v>
      </c>
      <c r="K566" t="s">
        <v>44</v>
      </c>
      <c r="L566" t="s">
        <v>178</v>
      </c>
      <c r="M566">
        <v>10</v>
      </c>
      <c r="N566">
        <v>4344</v>
      </c>
      <c r="O566">
        <v>43440</v>
      </c>
      <c r="P566" t="s">
        <v>61</v>
      </c>
      <c r="Q566">
        <v>1</v>
      </c>
      <c r="R566">
        <v>1</v>
      </c>
      <c r="S566" t="s">
        <v>28</v>
      </c>
    </row>
    <row r="567" spans="1:19" x14ac:dyDescent="0.3">
      <c r="A567">
        <v>564</v>
      </c>
      <c r="B567" t="s">
        <v>942</v>
      </c>
      <c r="C567" s="6">
        <v>45855</v>
      </c>
      <c r="D567" s="2" t="str">
        <f t="shared" si="16"/>
        <v>July</v>
      </c>
      <c r="E567" t="s">
        <v>233</v>
      </c>
      <c r="F567">
        <v>33</v>
      </c>
      <c r="G567" t="str">
        <f t="shared" si="17"/>
        <v>Adult</v>
      </c>
      <c r="H567" t="s">
        <v>22</v>
      </c>
      <c r="I567" t="s">
        <v>64</v>
      </c>
      <c r="J567" t="s">
        <v>50</v>
      </c>
      <c r="K567" t="s">
        <v>44</v>
      </c>
      <c r="L567" t="s">
        <v>178</v>
      </c>
      <c r="M567">
        <v>4</v>
      </c>
      <c r="N567">
        <v>19282</v>
      </c>
      <c r="O567">
        <v>77128</v>
      </c>
      <c r="P567" t="s">
        <v>27</v>
      </c>
      <c r="Q567">
        <v>7</v>
      </c>
      <c r="R567">
        <v>3</v>
      </c>
      <c r="S567" t="s">
        <v>28</v>
      </c>
    </row>
    <row r="568" spans="1:19" x14ac:dyDescent="0.3">
      <c r="A568">
        <v>565</v>
      </c>
      <c r="B568" t="s">
        <v>943</v>
      </c>
      <c r="C568" s="6">
        <v>45856</v>
      </c>
      <c r="D568" s="2" t="str">
        <f t="shared" si="16"/>
        <v>July</v>
      </c>
      <c r="E568" t="s">
        <v>848</v>
      </c>
      <c r="F568">
        <v>38</v>
      </c>
      <c r="G568" t="str">
        <f t="shared" si="17"/>
        <v>Adult</v>
      </c>
      <c r="H568" t="s">
        <v>22</v>
      </c>
      <c r="I568" t="s">
        <v>102</v>
      </c>
      <c r="J568" t="s">
        <v>24</v>
      </c>
      <c r="K568" t="s">
        <v>51</v>
      </c>
      <c r="L568" t="s">
        <v>74</v>
      </c>
      <c r="M568">
        <v>10</v>
      </c>
      <c r="N568">
        <v>59</v>
      </c>
      <c r="O568">
        <v>590</v>
      </c>
      <c r="P568" t="s">
        <v>27</v>
      </c>
      <c r="Q568">
        <v>5</v>
      </c>
      <c r="R568">
        <v>2</v>
      </c>
      <c r="S568" t="s">
        <v>28</v>
      </c>
    </row>
    <row r="569" spans="1:19" x14ac:dyDescent="0.3">
      <c r="A569">
        <v>566</v>
      </c>
      <c r="B569" t="s">
        <v>944</v>
      </c>
      <c r="C569" s="6">
        <v>45857</v>
      </c>
      <c r="D569" s="2" t="str">
        <f t="shared" si="16"/>
        <v>July</v>
      </c>
      <c r="E569" t="s">
        <v>945</v>
      </c>
      <c r="F569">
        <v>53</v>
      </c>
      <c r="G569" t="str">
        <f t="shared" si="17"/>
        <v>Senior</v>
      </c>
      <c r="H569" t="s">
        <v>22</v>
      </c>
      <c r="I569" t="s">
        <v>23</v>
      </c>
      <c r="J569" t="s">
        <v>24</v>
      </c>
      <c r="K569" t="s">
        <v>33</v>
      </c>
      <c r="L569" t="s">
        <v>160</v>
      </c>
      <c r="M569">
        <v>1</v>
      </c>
      <c r="N569">
        <v>49077</v>
      </c>
      <c r="O569">
        <v>49077</v>
      </c>
      <c r="P569" t="s">
        <v>116</v>
      </c>
      <c r="Q569">
        <v>10</v>
      </c>
      <c r="R569">
        <v>1</v>
      </c>
      <c r="S569" t="s">
        <v>46</v>
      </c>
    </row>
    <row r="570" spans="1:19" x14ac:dyDescent="0.3">
      <c r="A570">
        <v>567</v>
      </c>
      <c r="B570" t="s">
        <v>946</v>
      </c>
      <c r="C570" s="6">
        <v>45858</v>
      </c>
      <c r="D570" s="2" t="str">
        <f t="shared" si="16"/>
        <v>July</v>
      </c>
      <c r="E570" t="s">
        <v>302</v>
      </c>
      <c r="F570">
        <v>55</v>
      </c>
      <c r="G570" t="str">
        <f t="shared" si="17"/>
        <v>Senior</v>
      </c>
      <c r="H570" t="s">
        <v>42</v>
      </c>
      <c r="I570" t="s">
        <v>49</v>
      </c>
      <c r="J570" t="s">
        <v>65</v>
      </c>
      <c r="K570" t="s">
        <v>51</v>
      </c>
      <c r="L570" t="s">
        <v>111</v>
      </c>
      <c r="M570">
        <v>3</v>
      </c>
      <c r="N570">
        <v>1512</v>
      </c>
      <c r="O570">
        <v>4536</v>
      </c>
      <c r="P570" t="s">
        <v>27</v>
      </c>
      <c r="Q570">
        <v>9</v>
      </c>
      <c r="R570">
        <v>2</v>
      </c>
      <c r="S570" t="s">
        <v>46</v>
      </c>
    </row>
    <row r="571" spans="1:19" x14ac:dyDescent="0.3">
      <c r="A571">
        <v>568</v>
      </c>
      <c r="B571" t="s">
        <v>947</v>
      </c>
      <c r="C571" s="6">
        <v>45859</v>
      </c>
      <c r="D571" s="2" t="str">
        <f t="shared" si="16"/>
        <v>July</v>
      </c>
      <c r="E571" t="s">
        <v>416</v>
      </c>
      <c r="F571">
        <v>28</v>
      </c>
      <c r="G571" t="str">
        <f t="shared" si="17"/>
        <v>Teenager</v>
      </c>
      <c r="H571" t="s">
        <v>22</v>
      </c>
      <c r="I571" t="s">
        <v>37</v>
      </c>
      <c r="J571" t="s">
        <v>50</v>
      </c>
      <c r="K571" t="s">
        <v>38</v>
      </c>
      <c r="L571" t="s">
        <v>39</v>
      </c>
      <c r="M571">
        <v>6</v>
      </c>
      <c r="N571">
        <v>37671</v>
      </c>
      <c r="O571">
        <v>226026</v>
      </c>
      <c r="P571" t="s">
        <v>53</v>
      </c>
      <c r="Q571">
        <v>1</v>
      </c>
      <c r="R571">
        <v>5</v>
      </c>
      <c r="S571" t="s">
        <v>46</v>
      </c>
    </row>
    <row r="572" spans="1:19" x14ac:dyDescent="0.3">
      <c r="A572">
        <v>569</v>
      </c>
      <c r="B572" t="s">
        <v>948</v>
      </c>
      <c r="C572" s="6">
        <v>45860</v>
      </c>
      <c r="D572" s="2" t="str">
        <f t="shared" si="16"/>
        <v>July</v>
      </c>
      <c r="E572" t="s">
        <v>949</v>
      </c>
      <c r="F572">
        <v>41</v>
      </c>
      <c r="G572" t="str">
        <f t="shared" si="17"/>
        <v>Adult</v>
      </c>
      <c r="H572" t="s">
        <v>42</v>
      </c>
      <c r="I572" t="s">
        <v>31</v>
      </c>
      <c r="J572" t="s">
        <v>50</v>
      </c>
      <c r="K572" t="s">
        <v>38</v>
      </c>
      <c r="L572" t="s">
        <v>39</v>
      </c>
      <c r="M572">
        <v>3</v>
      </c>
      <c r="N572">
        <v>8771</v>
      </c>
      <c r="O572">
        <v>26313</v>
      </c>
      <c r="P572" t="s">
        <v>116</v>
      </c>
      <c r="Q572">
        <v>4</v>
      </c>
      <c r="R572">
        <v>5</v>
      </c>
      <c r="S572" t="s">
        <v>28</v>
      </c>
    </row>
    <row r="573" spans="1:19" x14ac:dyDescent="0.3">
      <c r="A573">
        <v>570</v>
      </c>
      <c r="B573" t="s">
        <v>950</v>
      </c>
      <c r="C573" s="6">
        <v>45861</v>
      </c>
      <c r="D573" s="2" t="str">
        <f t="shared" si="16"/>
        <v>July</v>
      </c>
      <c r="E573" t="s">
        <v>551</v>
      </c>
      <c r="F573">
        <v>42</v>
      </c>
      <c r="G573" t="str">
        <f t="shared" si="17"/>
        <v>Adult</v>
      </c>
      <c r="H573" t="s">
        <v>22</v>
      </c>
      <c r="I573" t="s">
        <v>43</v>
      </c>
      <c r="J573" t="s">
        <v>24</v>
      </c>
      <c r="K573" t="s">
        <v>51</v>
      </c>
      <c r="L573" t="s">
        <v>86</v>
      </c>
      <c r="M573">
        <v>5</v>
      </c>
      <c r="N573">
        <v>1763</v>
      </c>
      <c r="O573">
        <v>8815</v>
      </c>
      <c r="P573" t="s">
        <v>99</v>
      </c>
      <c r="Q573">
        <v>7</v>
      </c>
      <c r="R573">
        <v>3</v>
      </c>
      <c r="S573" t="s">
        <v>46</v>
      </c>
    </row>
    <row r="574" spans="1:19" x14ac:dyDescent="0.3">
      <c r="A574">
        <v>571</v>
      </c>
      <c r="B574" t="s">
        <v>951</v>
      </c>
      <c r="C574" s="6">
        <v>45862</v>
      </c>
      <c r="D574" s="2" t="str">
        <f t="shared" si="16"/>
        <v>July</v>
      </c>
      <c r="E574" t="s">
        <v>952</v>
      </c>
      <c r="F574">
        <v>18</v>
      </c>
      <c r="G574" t="str">
        <f t="shared" si="17"/>
        <v>Teenager</v>
      </c>
      <c r="H574" t="s">
        <v>22</v>
      </c>
      <c r="I574" t="s">
        <v>120</v>
      </c>
      <c r="J574" t="s">
        <v>24</v>
      </c>
      <c r="K574" t="s">
        <v>38</v>
      </c>
      <c r="L574" t="s">
        <v>81</v>
      </c>
      <c r="M574">
        <v>4</v>
      </c>
      <c r="N574">
        <v>33353</v>
      </c>
      <c r="O574">
        <v>133412</v>
      </c>
      <c r="P574" t="s">
        <v>53</v>
      </c>
      <c r="Q574">
        <v>3</v>
      </c>
      <c r="R574">
        <v>3</v>
      </c>
      <c r="S574" t="s">
        <v>46</v>
      </c>
    </row>
    <row r="575" spans="1:19" x14ac:dyDescent="0.3">
      <c r="A575">
        <v>572</v>
      </c>
      <c r="B575" t="s">
        <v>953</v>
      </c>
      <c r="C575" s="6">
        <v>45863</v>
      </c>
      <c r="D575" s="2" t="str">
        <f t="shared" si="16"/>
        <v>July</v>
      </c>
      <c r="E575" t="s">
        <v>547</v>
      </c>
      <c r="F575">
        <v>54</v>
      </c>
      <c r="G575" t="str">
        <f t="shared" si="17"/>
        <v>Senior</v>
      </c>
      <c r="H575" t="s">
        <v>22</v>
      </c>
      <c r="I575" t="s">
        <v>120</v>
      </c>
      <c r="J575" t="s">
        <v>50</v>
      </c>
      <c r="K575" t="s">
        <v>33</v>
      </c>
      <c r="L575" t="s">
        <v>160</v>
      </c>
      <c r="M575">
        <v>2</v>
      </c>
      <c r="N575">
        <v>26744</v>
      </c>
      <c r="O575">
        <v>53488</v>
      </c>
      <c r="P575" t="s">
        <v>99</v>
      </c>
      <c r="Q575">
        <v>6</v>
      </c>
      <c r="R575">
        <v>2</v>
      </c>
      <c r="S575" t="s">
        <v>28</v>
      </c>
    </row>
    <row r="576" spans="1:19" x14ac:dyDescent="0.3">
      <c r="A576">
        <v>573</v>
      </c>
      <c r="B576" t="s">
        <v>954</v>
      </c>
      <c r="C576" s="6">
        <v>45864</v>
      </c>
      <c r="D576" s="2" t="str">
        <f t="shared" si="16"/>
        <v>July</v>
      </c>
      <c r="E576" t="s">
        <v>67</v>
      </c>
      <c r="F576">
        <v>47</v>
      </c>
      <c r="G576" t="str">
        <f t="shared" si="17"/>
        <v>Adult</v>
      </c>
      <c r="H576" t="s">
        <v>22</v>
      </c>
      <c r="I576" t="s">
        <v>31</v>
      </c>
      <c r="J576" t="s">
        <v>50</v>
      </c>
      <c r="K576" t="s">
        <v>44</v>
      </c>
      <c r="L576" t="s">
        <v>178</v>
      </c>
      <c r="M576">
        <v>1</v>
      </c>
      <c r="N576">
        <v>33722</v>
      </c>
      <c r="O576">
        <v>33722</v>
      </c>
      <c r="P576" t="s">
        <v>53</v>
      </c>
      <c r="Q576">
        <v>9</v>
      </c>
      <c r="R576">
        <v>5</v>
      </c>
      <c r="S576" t="s">
        <v>28</v>
      </c>
    </row>
    <row r="577" spans="1:19" x14ac:dyDescent="0.3">
      <c r="A577">
        <v>574</v>
      </c>
      <c r="B577" t="s">
        <v>955</v>
      </c>
      <c r="C577" s="6">
        <v>45865</v>
      </c>
      <c r="D577" s="2" t="str">
        <f t="shared" si="16"/>
        <v>July</v>
      </c>
      <c r="E577" t="s">
        <v>260</v>
      </c>
      <c r="F577">
        <v>54</v>
      </c>
      <c r="G577" t="str">
        <f t="shared" si="17"/>
        <v>Senior</v>
      </c>
      <c r="H577" t="s">
        <v>42</v>
      </c>
      <c r="I577" t="s">
        <v>43</v>
      </c>
      <c r="J577" t="s">
        <v>24</v>
      </c>
      <c r="K577" t="s">
        <v>25</v>
      </c>
      <c r="L577" t="s">
        <v>94</v>
      </c>
      <c r="M577">
        <v>5</v>
      </c>
      <c r="N577">
        <v>41362</v>
      </c>
      <c r="O577">
        <v>206810</v>
      </c>
      <c r="P577" t="s">
        <v>61</v>
      </c>
      <c r="Q577">
        <v>5</v>
      </c>
      <c r="R577">
        <v>1</v>
      </c>
      <c r="S577" t="s">
        <v>46</v>
      </c>
    </row>
    <row r="578" spans="1:19" x14ac:dyDescent="0.3">
      <c r="A578">
        <v>575</v>
      </c>
      <c r="B578" t="s">
        <v>956</v>
      </c>
      <c r="C578" s="6">
        <v>45866</v>
      </c>
      <c r="D578" s="2" t="str">
        <f t="shared" si="16"/>
        <v>July</v>
      </c>
      <c r="E578" t="s">
        <v>644</v>
      </c>
      <c r="F578">
        <v>60</v>
      </c>
      <c r="G578" t="str">
        <f t="shared" si="17"/>
        <v>Senior</v>
      </c>
      <c r="H578" t="s">
        <v>22</v>
      </c>
      <c r="I578" t="s">
        <v>120</v>
      </c>
      <c r="J578" t="s">
        <v>65</v>
      </c>
      <c r="K578" t="s">
        <v>38</v>
      </c>
      <c r="L578" t="s">
        <v>39</v>
      </c>
      <c r="M578">
        <v>4</v>
      </c>
      <c r="N578">
        <v>27141</v>
      </c>
      <c r="O578">
        <v>108564</v>
      </c>
      <c r="P578" t="s">
        <v>53</v>
      </c>
      <c r="Q578">
        <v>10</v>
      </c>
      <c r="R578">
        <v>4</v>
      </c>
      <c r="S578" t="s">
        <v>46</v>
      </c>
    </row>
    <row r="579" spans="1:19" x14ac:dyDescent="0.3">
      <c r="A579">
        <v>576</v>
      </c>
      <c r="B579" t="s">
        <v>957</v>
      </c>
      <c r="C579" s="6">
        <v>45867</v>
      </c>
      <c r="D579" s="2" t="str">
        <f t="shared" si="16"/>
        <v>July</v>
      </c>
      <c r="E579" t="s">
        <v>192</v>
      </c>
      <c r="F579">
        <v>24</v>
      </c>
      <c r="G579" t="str">
        <f t="shared" si="17"/>
        <v>Teenager</v>
      </c>
      <c r="H579" t="s">
        <v>42</v>
      </c>
      <c r="I579" t="s">
        <v>23</v>
      </c>
      <c r="J579" t="s">
        <v>65</v>
      </c>
      <c r="K579" t="s">
        <v>25</v>
      </c>
      <c r="L579" t="s">
        <v>124</v>
      </c>
      <c r="M579">
        <v>2</v>
      </c>
      <c r="N579">
        <v>32590</v>
      </c>
      <c r="O579">
        <v>65180</v>
      </c>
      <c r="P579" t="s">
        <v>53</v>
      </c>
      <c r="Q579">
        <v>4</v>
      </c>
      <c r="R579">
        <v>4</v>
      </c>
      <c r="S579" t="s">
        <v>46</v>
      </c>
    </row>
    <row r="580" spans="1:19" x14ac:dyDescent="0.3">
      <c r="A580">
        <v>577</v>
      </c>
      <c r="B580" t="s">
        <v>958</v>
      </c>
      <c r="C580" s="6">
        <v>45868</v>
      </c>
      <c r="D580" s="2" t="str">
        <f t="shared" ref="D580:D643" si="18">TEXT(C580,"mmmm")</f>
        <v>July</v>
      </c>
      <c r="E580" t="s">
        <v>188</v>
      </c>
      <c r="F580">
        <v>60</v>
      </c>
      <c r="G580" t="str">
        <f t="shared" ref="G580:G643" si="19">IF(F580&gt;=50,"Senior",IF(F580&gt;=30,"Adult","Teenager"))</f>
        <v>Senior</v>
      </c>
      <c r="H580" t="s">
        <v>22</v>
      </c>
      <c r="I580" t="s">
        <v>43</v>
      </c>
      <c r="J580" t="s">
        <v>24</v>
      </c>
      <c r="K580" t="s">
        <v>33</v>
      </c>
      <c r="L580" t="s">
        <v>173</v>
      </c>
      <c r="M580">
        <v>8</v>
      </c>
      <c r="N580">
        <v>39904</v>
      </c>
      <c r="O580">
        <v>319232</v>
      </c>
      <c r="P580" t="s">
        <v>116</v>
      </c>
      <c r="Q580">
        <v>10</v>
      </c>
      <c r="R580">
        <v>5</v>
      </c>
      <c r="S580" t="s">
        <v>28</v>
      </c>
    </row>
    <row r="581" spans="1:19" x14ac:dyDescent="0.3">
      <c r="A581">
        <v>578</v>
      </c>
      <c r="B581" t="s">
        <v>959</v>
      </c>
      <c r="C581" s="6">
        <v>45869</v>
      </c>
      <c r="D581" s="2" t="str">
        <f t="shared" si="18"/>
        <v>July</v>
      </c>
      <c r="E581" t="s">
        <v>208</v>
      </c>
      <c r="F581">
        <v>34</v>
      </c>
      <c r="G581" t="str">
        <f t="shared" si="19"/>
        <v>Adult</v>
      </c>
      <c r="H581" t="s">
        <v>22</v>
      </c>
      <c r="I581" t="s">
        <v>49</v>
      </c>
      <c r="J581" t="s">
        <v>32</v>
      </c>
      <c r="K581" t="s">
        <v>33</v>
      </c>
      <c r="L581" t="s">
        <v>160</v>
      </c>
      <c r="M581">
        <v>6</v>
      </c>
      <c r="N581">
        <v>25046</v>
      </c>
      <c r="O581">
        <v>150276</v>
      </c>
      <c r="P581" t="s">
        <v>53</v>
      </c>
      <c r="Q581">
        <v>7</v>
      </c>
      <c r="R581">
        <v>3</v>
      </c>
      <c r="S581" t="s">
        <v>46</v>
      </c>
    </row>
    <row r="582" spans="1:19" x14ac:dyDescent="0.3">
      <c r="A582">
        <v>579</v>
      </c>
      <c r="B582" t="s">
        <v>960</v>
      </c>
      <c r="C582" s="6">
        <v>45870</v>
      </c>
      <c r="D582" s="2" t="str">
        <f t="shared" si="18"/>
        <v>August</v>
      </c>
      <c r="E582" t="s">
        <v>106</v>
      </c>
      <c r="F582">
        <v>50</v>
      </c>
      <c r="G582" t="str">
        <f t="shared" si="19"/>
        <v>Senior</v>
      </c>
      <c r="H582" t="s">
        <v>22</v>
      </c>
      <c r="I582" t="s">
        <v>70</v>
      </c>
      <c r="J582" t="s">
        <v>32</v>
      </c>
      <c r="K582" t="s">
        <v>44</v>
      </c>
      <c r="L582" t="s">
        <v>121</v>
      </c>
      <c r="M582">
        <v>5</v>
      </c>
      <c r="N582">
        <v>3619</v>
      </c>
      <c r="O582">
        <v>18095</v>
      </c>
      <c r="P582" t="s">
        <v>27</v>
      </c>
      <c r="Q582">
        <v>6</v>
      </c>
      <c r="R582">
        <v>5</v>
      </c>
      <c r="S582" t="s">
        <v>46</v>
      </c>
    </row>
    <row r="583" spans="1:19" x14ac:dyDescent="0.3">
      <c r="A583">
        <v>580</v>
      </c>
      <c r="B583" t="s">
        <v>961</v>
      </c>
      <c r="C583" s="6">
        <v>45871</v>
      </c>
      <c r="D583" s="2" t="str">
        <f t="shared" si="18"/>
        <v>August</v>
      </c>
      <c r="E583" t="s">
        <v>101</v>
      </c>
      <c r="F583">
        <v>21</v>
      </c>
      <c r="G583" t="str">
        <f t="shared" si="19"/>
        <v>Teenager</v>
      </c>
      <c r="H583" t="s">
        <v>42</v>
      </c>
      <c r="I583" t="s">
        <v>80</v>
      </c>
      <c r="J583" t="s">
        <v>32</v>
      </c>
      <c r="K583" t="s">
        <v>44</v>
      </c>
      <c r="L583" t="s">
        <v>178</v>
      </c>
      <c r="M583">
        <v>7</v>
      </c>
      <c r="N583">
        <v>34923</v>
      </c>
      <c r="O583">
        <v>244461</v>
      </c>
      <c r="P583" t="s">
        <v>53</v>
      </c>
      <c r="Q583">
        <v>7</v>
      </c>
      <c r="R583">
        <v>1</v>
      </c>
      <c r="S583" t="s">
        <v>46</v>
      </c>
    </row>
    <row r="584" spans="1:19" x14ac:dyDescent="0.3">
      <c r="A584">
        <v>581</v>
      </c>
      <c r="B584" t="s">
        <v>962</v>
      </c>
      <c r="C584" s="6">
        <v>45872</v>
      </c>
      <c r="D584" s="2" t="str">
        <f t="shared" si="18"/>
        <v>August</v>
      </c>
      <c r="E584" t="s">
        <v>624</v>
      </c>
      <c r="F584">
        <v>36</v>
      </c>
      <c r="G584" t="str">
        <f t="shared" si="19"/>
        <v>Adult</v>
      </c>
      <c r="H584" t="s">
        <v>42</v>
      </c>
      <c r="I584" t="s">
        <v>31</v>
      </c>
      <c r="J584" t="s">
        <v>32</v>
      </c>
      <c r="K584" t="s">
        <v>33</v>
      </c>
      <c r="L584" t="s">
        <v>173</v>
      </c>
      <c r="M584">
        <v>2</v>
      </c>
      <c r="N584">
        <v>47559</v>
      </c>
      <c r="O584">
        <v>95118</v>
      </c>
      <c r="P584" t="s">
        <v>61</v>
      </c>
      <c r="Q584">
        <v>2</v>
      </c>
      <c r="R584">
        <v>2</v>
      </c>
      <c r="S584" t="s">
        <v>46</v>
      </c>
    </row>
    <row r="585" spans="1:19" x14ac:dyDescent="0.3">
      <c r="A585">
        <v>582</v>
      </c>
      <c r="B585" t="s">
        <v>963</v>
      </c>
      <c r="C585" s="6">
        <v>45873</v>
      </c>
      <c r="D585" s="2" t="str">
        <f t="shared" si="18"/>
        <v>August</v>
      </c>
      <c r="E585" t="s">
        <v>567</v>
      </c>
      <c r="F585">
        <v>30</v>
      </c>
      <c r="G585" t="str">
        <f t="shared" si="19"/>
        <v>Adult</v>
      </c>
      <c r="H585" t="s">
        <v>22</v>
      </c>
      <c r="I585" t="s">
        <v>70</v>
      </c>
      <c r="J585" t="s">
        <v>65</v>
      </c>
      <c r="K585" t="s">
        <v>44</v>
      </c>
      <c r="L585" t="s">
        <v>178</v>
      </c>
      <c r="M585">
        <v>1</v>
      </c>
      <c r="N585">
        <v>4653</v>
      </c>
      <c r="O585">
        <v>4653</v>
      </c>
      <c r="P585" t="s">
        <v>99</v>
      </c>
      <c r="Q585">
        <v>7</v>
      </c>
      <c r="R585">
        <v>1</v>
      </c>
      <c r="S585" t="s">
        <v>46</v>
      </c>
    </row>
    <row r="586" spans="1:19" x14ac:dyDescent="0.3">
      <c r="A586">
        <v>583</v>
      </c>
      <c r="B586" t="s">
        <v>964</v>
      </c>
      <c r="C586" s="6">
        <v>45874</v>
      </c>
      <c r="D586" s="2" t="str">
        <f t="shared" si="18"/>
        <v>August</v>
      </c>
      <c r="E586" t="s">
        <v>965</v>
      </c>
      <c r="F586">
        <v>29</v>
      </c>
      <c r="G586" t="str">
        <f t="shared" si="19"/>
        <v>Teenager</v>
      </c>
      <c r="H586" t="s">
        <v>22</v>
      </c>
      <c r="I586" t="s">
        <v>80</v>
      </c>
      <c r="J586" t="s">
        <v>24</v>
      </c>
      <c r="K586" t="s">
        <v>38</v>
      </c>
      <c r="L586" t="s">
        <v>71</v>
      </c>
      <c r="M586">
        <v>6</v>
      </c>
      <c r="N586">
        <v>34994</v>
      </c>
      <c r="O586">
        <v>209964</v>
      </c>
      <c r="P586" t="s">
        <v>99</v>
      </c>
      <c r="Q586">
        <v>5</v>
      </c>
      <c r="R586">
        <v>4</v>
      </c>
      <c r="S586" t="s">
        <v>28</v>
      </c>
    </row>
    <row r="587" spans="1:19" x14ac:dyDescent="0.3">
      <c r="A587">
        <v>584</v>
      </c>
      <c r="B587" t="s">
        <v>966</v>
      </c>
      <c r="C587" s="6">
        <v>45875</v>
      </c>
      <c r="D587" s="2" t="str">
        <f t="shared" si="18"/>
        <v>August</v>
      </c>
      <c r="E587" t="s">
        <v>324</v>
      </c>
      <c r="F587">
        <v>58</v>
      </c>
      <c r="G587" t="str">
        <f t="shared" si="19"/>
        <v>Senior</v>
      </c>
      <c r="H587" t="s">
        <v>22</v>
      </c>
      <c r="I587" t="s">
        <v>43</v>
      </c>
      <c r="J587" t="s">
        <v>65</v>
      </c>
      <c r="K587" t="s">
        <v>33</v>
      </c>
      <c r="L587" t="s">
        <v>34</v>
      </c>
      <c r="M587">
        <v>7</v>
      </c>
      <c r="N587">
        <v>2675</v>
      </c>
      <c r="O587">
        <v>18725</v>
      </c>
      <c r="P587" t="s">
        <v>99</v>
      </c>
      <c r="Q587">
        <v>5</v>
      </c>
      <c r="R587">
        <v>1</v>
      </c>
      <c r="S587" t="s">
        <v>46</v>
      </c>
    </row>
    <row r="588" spans="1:19" x14ac:dyDescent="0.3">
      <c r="A588">
        <v>585</v>
      </c>
      <c r="B588" t="s">
        <v>967</v>
      </c>
      <c r="C588" s="6">
        <v>45876</v>
      </c>
      <c r="D588" s="2" t="str">
        <f t="shared" si="18"/>
        <v>August</v>
      </c>
      <c r="E588" t="s">
        <v>621</v>
      </c>
      <c r="F588">
        <v>21</v>
      </c>
      <c r="G588" t="str">
        <f t="shared" si="19"/>
        <v>Teenager</v>
      </c>
      <c r="H588" t="s">
        <v>22</v>
      </c>
      <c r="I588" t="s">
        <v>102</v>
      </c>
      <c r="J588" t="s">
        <v>24</v>
      </c>
      <c r="K588" t="s">
        <v>38</v>
      </c>
      <c r="L588" t="s">
        <v>39</v>
      </c>
      <c r="M588">
        <v>4</v>
      </c>
      <c r="N588">
        <v>13265</v>
      </c>
      <c r="O588">
        <v>53060</v>
      </c>
      <c r="P588" t="s">
        <v>99</v>
      </c>
      <c r="Q588">
        <v>10</v>
      </c>
      <c r="R588">
        <v>2</v>
      </c>
      <c r="S588" t="s">
        <v>46</v>
      </c>
    </row>
    <row r="589" spans="1:19" x14ac:dyDescent="0.3">
      <c r="A589">
        <v>586</v>
      </c>
      <c r="B589" t="s">
        <v>968</v>
      </c>
      <c r="C589" s="6">
        <v>45877</v>
      </c>
      <c r="D589" s="2" t="str">
        <f t="shared" si="18"/>
        <v>August</v>
      </c>
      <c r="E589" t="s">
        <v>580</v>
      </c>
      <c r="F589">
        <v>46</v>
      </c>
      <c r="G589" t="str">
        <f t="shared" si="19"/>
        <v>Adult</v>
      </c>
      <c r="H589" t="s">
        <v>42</v>
      </c>
      <c r="I589" t="s">
        <v>23</v>
      </c>
      <c r="J589" t="s">
        <v>24</v>
      </c>
      <c r="K589" t="s">
        <v>25</v>
      </c>
      <c r="L589" t="s">
        <v>124</v>
      </c>
      <c r="M589">
        <v>1</v>
      </c>
      <c r="N589">
        <v>39795</v>
      </c>
      <c r="O589">
        <v>39795</v>
      </c>
      <c r="P589" t="s">
        <v>116</v>
      </c>
      <c r="Q589">
        <v>9</v>
      </c>
      <c r="R589">
        <v>2</v>
      </c>
      <c r="S589" t="s">
        <v>46</v>
      </c>
    </row>
    <row r="590" spans="1:19" x14ac:dyDescent="0.3">
      <c r="A590">
        <v>587</v>
      </c>
      <c r="B590" t="s">
        <v>969</v>
      </c>
      <c r="C590" s="6">
        <v>45878</v>
      </c>
      <c r="D590" s="2" t="str">
        <f t="shared" si="18"/>
        <v>August</v>
      </c>
      <c r="E590" t="s">
        <v>685</v>
      </c>
      <c r="F590">
        <v>39</v>
      </c>
      <c r="G590" t="str">
        <f t="shared" si="19"/>
        <v>Adult</v>
      </c>
      <c r="H590" t="s">
        <v>42</v>
      </c>
      <c r="I590" t="s">
        <v>70</v>
      </c>
      <c r="J590" t="s">
        <v>50</v>
      </c>
      <c r="K590" t="s">
        <v>38</v>
      </c>
      <c r="L590" t="s">
        <v>135</v>
      </c>
      <c r="M590">
        <v>7</v>
      </c>
      <c r="N590">
        <v>11945</v>
      </c>
      <c r="O590">
        <v>83615</v>
      </c>
      <c r="P590" t="s">
        <v>116</v>
      </c>
      <c r="Q590">
        <v>8</v>
      </c>
      <c r="R590">
        <v>1</v>
      </c>
      <c r="S590" t="s">
        <v>46</v>
      </c>
    </row>
    <row r="591" spans="1:19" x14ac:dyDescent="0.3">
      <c r="A591">
        <v>588</v>
      </c>
      <c r="B591" t="s">
        <v>970</v>
      </c>
      <c r="C591" s="6">
        <v>45879</v>
      </c>
      <c r="D591" s="2" t="str">
        <f t="shared" si="18"/>
        <v>August</v>
      </c>
      <c r="E591" t="s">
        <v>409</v>
      </c>
      <c r="F591">
        <v>26</v>
      </c>
      <c r="G591" t="str">
        <f t="shared" si="19"/>
        <v>Teenager</v>
      </c>
      <c r="H591" t="s">
        <v>22</v>
      </c>
      <c r="I591" t="s">
        <v>37</v>
      </c>
      <c r="J591" t="s">
        <v>24</v>
      </c>
      <c r="K591" t="s">
        <v>25</v>
      </c>
      <c r="L591" t="s">
        <v>189</v>
      </c>
      <c r="M591">
        <v>8</v>
      </c>
      <c r="N591">
        <v>30293</v>
      </c>
      <c r="O591">
        <v>242344</v>
      </c>
      <c r="P591" t="s">
        <v>116</v>
      </c>
      <c r="Q591">
        <v>10</v>
      </c>
      <c r="R591">
        <v>4</v>
      </c>
      <c r="S591" t="s">
        <v>46</v>
      </c>
    </row>
    <row r="592" spans="1:19" x14ac:dyDescent="0.3">
      <c r="A592">
        <v>589</v>
      </c>
      <c r="B592" t="s">
        <v>971</v>
      </c>
      <c r="C592" s="6">
        <v>45880</v>
      </c>
      <c r="D592" s="2" t="str">
        <f t="shared" si="18"/>
        <v>August</v>
      </c>
      <c r="E592" t="s">
        <v>184</v>
      </c>
      <c r="F592">
        <v>50</v>
      </c>
      <c r="G592" t="str">
        <f t="shared" si="19"/>
        <v>Senior</v>
      </c>
      <c r="H592" t="s">
        <v>42</v>
      </c>
      <c r="I592" t="s">
        <v>80</v>
      </c>
      <c r="J592" t="s">
        <v>32</v>
      </c>
      <c r="K592" t="s">
        <v>44</v>
      </c>
      <c r="L592" t="s">
        <v>178</v>
      </c>
      <c r="M592">
        <v>9</v>
      </c>
      <c r="N592">
        <v>19967</v>
      </c>
      <c r="O592">
        <v>179703</v>
      </c>
      <c r="P592" t="s">
        <v>27</v>
      </c>
      <c r="Q592">
        <v>1</v>
      </c>
      <c r="R592">
        <v>1</v>
      </c>
      <c r="S592" t="s">
        <v>28</v>
      </c>
    </row>
    <row r="593" spans="1:19" x14ac:dyDescent="0.3">
      <c r="A593">
        <v>590</v>
      </c>
      <c r="B593" t="s">
        <v>972</v>
      </c>
      <c r="C593" s="6">
        <v>45881</v>
      </c>
      <c r="D593" s="2" t="str">
        <f t="shared" si="18"/>
        <v>August</v>
      </c>
      <c r="E593" t="s">
        <v>322</v>
      </c>
      <c r="F593">
        <v>39</v>
      </c>
      <c r="G593" t="str">
        <f t="shared" si="19"/>
        <v>Adult</v>
      </c>
      <c r="H593" t="s">
        <v>42</v>
      </c>
      <c r="I593" t="s">
        <v>43</v>
      </c>
      <c r="J593" t="s">
        <v>65</v>
      </c>
      <c r="K593" t="s">
        <v>38</v>
      </c>
      <c r="L593" t="s">
        <v>81</v>
      </c>
      <c r="M593">
        <v>8</v>
      </c>
      <c r="N593">
        <v>17601</v>
      </c>
      <c r="O593">
        <v>140808</v>
      </c>
      <c r="P593" t="s">
        <v>61</v>
      </c>
      <c r="Q593">
        <v>10</v>
      </c>
      <c r="R593">
        <v>2</v>
      </c>
      <c r="S593" t="s">
        <v>46</v>
      </c>
    </row>
    <row r="594" spans="1:19" x14ac:dyDescent="0.3">
      <c r="A594">
        <v>591</v>
      </c>
      <c r="B594" t="s">
        <v>973</v>
      </c>
      <c r="C594" s="6">
        <v>45882</v>
      </c>
      <c r="D594" s="2" t="str">
        <f t="shared" si="18"/>
        <v>August</v>
      </c>
      <c r="E594" t="s">
        <v>974</v>
      </c>
      <c r="F594">
        <v>31</v>
      </c>
      <c r="G594" t="str">
        <f t="shared" si="19"/>
        <v>Adult</v>
      </c>
      <c r="H594" t="s">
        <v>22</v>
      </c>
      <c r="I594" t="s">
        <v>70</v>
      </c>
      <c r="J594" t="s">
        <v>32</v>
      </c>
      <c r="K594" t="s">
        <v>33</v>
      </c>
      <c r="L594" t="s">
        <v>34</v>
      </c>
      <c r="M594">
        <v>4</v>
      </c>
      <c r="N594">
        <v>48397</v>
      </c>
      <c r="O594">
        <v>193588</v>
      </c>
      <c r="P594" t="s">
        <v>116</v>
      </c>
      <c r="Q594">
        <v>5</v>
      </c>
      <c r="R594">
        <v>2</v>
      </c>
      <c r="S594" t="s">
        <v>46</v>
      </c>
    </row>
    <row r="595" spans="1:19" x14ac:dyDescent="0.3">
      <c r="A595">
        <v>592</v>
      </c>
      <c r="B595" t="s">
        <v>975</v>
      </c>
      <c r="C595" s="6">
        <v>45883</v>
      </c>
      <c r="D595" s="2" t="str">
        <f t="shared" si="18"/>
        <v>August</v>
      </c>
      <c r="E595" t="s">
        <v>465</v>
      </c>
      <c r="F595">
        <v>38</v>
      </c>
      <c r="G595" t="str">
        <f t="shared" si="19"/>
        <v>Adult</v>
      </c>
      <c r="H595" t="s">
        <v>42</v>
      </c>
      <c r="I595" t="s">
        <v>64</v>
      </c>
      <c r="J595" t="s">
        <v>24</v>
      </c>
      <c r="K595" t="s">
        <v>51</v>
      </c>
      <c r="L595" t="s">
        <v>52</v>
      </c>
      <c r="M595">
        <v>5</v>
      </c>
      <c r="N595">
        <v>456</v>
      </c>
      <c r="O595">
        <v>2280</v>
      </c>
      <c r="P595" t="s">
        <v>53</v>
      </c>
      <c r="Q595">
        <v>1</v>
      </c>
      <c r="R595">
        <v>2</v>
      </c>
      <c r="S595" t="s">
        <v>46</v>
      </c>
    </row>
    <row r="596" spans="1:19" x14ac:dyDescent="0.3">
      <c r="A596">
        <v>593</v>
      </c>
      <c r="B596" t="s">
        <v>976</v>
      </c>
      <c r="C596" s="6">
        <v>45884</v>
      </c>
      <c r="D596" s="2" t="str">
        <f t="shared" si="18"/>
        <v>August</v>
      </c>
      <c r="E596" t="s">
        <v>541</v>
      </c>
      <c r="F596">
        <v>22</v>
      </c>
      <c r="G596" t="str">
        <f t="shared" si="19"/>
        <v>Teenager</v>
      </c>
      <c r="H596" t="s">
        <v>22</v>
      </c>
      <c r="I596" t="s">
        <v>31</v>
      </c>
      <c r="J596" t="s">
        <v>50</v>
      </c>
      <c r="K596" t="s">
        <v>44</v>
      </c>
      <c r="L596" t="s">
        <v>45</v>
      </c>
      <c r="M596">
        <v>9</v>
      </c>
      <c r="N596">
        <v>26072</v>
      </c>
      <c r="O596">
        <v>234648</v>
      </c>
      <c r="P596" t="s">
        <v>53</v>
      </c>
      <c r="Q596">
        <v>10</v>
      </c>
      <c r="R596">
        <v>4</v>
      </c>
      <c r="S596" t="s">
        <v>28</v>
      </c>
    </row>
    <row r="597" spans="1:19" x14ac:dyDescent="0.3">
      <c r="A597">
        <v>594</v>
      </c>
      <c r="B597" t="s">
        <v>977</v>
      </c>
      <c r="C597" s="6">
        <v>45885</v>
      </c>
      <c r="D597" s="2" t="str">
        <f t="shared" si="18"/>
        <v>August</v>
      </c>
      <c r="E597" t="s">
        <v>888</v>
      </c>
      <c r="F597">
        <v>46</v>
      </c>
      <c r="G597" t="str">
        <f t="shared" si="19"/>
        <v>Adult</v>
      </c>
      <c r="H597" t="s">
        <v>22</v>
      </c>
      <c r="I597" t="s">
        <v>64</v>
      </c>
      <c r="J597" t="s">
        <v>24</v>
      </c>
      <c r="K597" t="s">
        <v>51</v>
      </c>
      <c r="L597" t="s">
        <v>52</v>
      </c>
      <c r="M597">
        <v>8</v>
      </c>
      <c r="N597">
        <v>426</v>
      </c>
      <c r="O597">
        <v>3408</v>
      </c>
      <c r="P597" t="s">
        <v>116</v>
      </c>
      <c r="Q597">
        <v>9</v>
      </c>
      <c r="R597">
        <v>3</v>
      </c>
      <c r="S597" t="s">
        <v>28</v>
      </c>
    </row>
    <row r="598" spans="1:19" x14ac:dyDescent="0.3">
      <c r="A598">
        <v>595</v>
      </c>
      <c r="B598" t="s">
        <v>978</v>
      </c>
      <c r="C598" s="6">
        <v>45886</v>
      </c>
      <c r="D598" s="2" t="str">
        <f t="shared" si="18"/>
        <v>August</v>
      </c>
      <c r="E598" t="s">
        <v>152</v>
      </c>
      <c r="F598">
        <v>22</v>
      </c>
      <c r="G598" t="str">
        <f t="shared" si="19"/>
        <v>Teenager</v>
      </c>
      <c r="H598" t="s">
        <v>42</v>
      </c>
      <c r="I598" t="s">
        <v>70</v>
      </c>
      <c r="J598" t="s">
        <v>50</v>
      </c>
      <c r="K598" t="s">
        <v>33</v>
      </c>
      <c r="L598" t="s">
        <v>173</v>
      </c>
      <c r="M598">
        <v>6</v>
      </c>
      <c r="N598">
        <v>20028</v>
      </c>
      <c r="O598">
        <v>120168</v>
      </c>
      <c r="P598" t="s">
        <v>61</v>
      </c>
      <c r="Q598">
        <v>2</v>
      </c>
      <c r="R598">
        <v>2</v>
      </c>
      <c r="S598" t="s">
        <v>28</v>
      </c>
    </row>
    <row r="599" spans="1:19" x14ac:dyDescent="0.3">
      <c r="A599">
        <v>596</v>
      </c>
      <c r="B599" t="s">
        <v>979</v>
      </c>
      <c r="C599" s="6">
        <v>45887</v>
      </c>
      <c r="D599" s="2" t="str">
        <f t="shared" si="18"/>
        <v>August</v>
      </c>
      <c r="E599" t="s">
        <v>302</v>
      </c>
      <c r="F599">
        <v>18</v>
      </c>
      <c r="G599" t="str">
        <f t="shared" si="19"/>
        <v>Teenager</v>
      </c>
      <c r="H599" t="s">
        <v>22</v>
      </c>
      <c r="I599" t="s">
        <v>43</v>
      </c>
      <c r="J599" t="s">
        <v>32</v>
      </c>
      <c r="K599" t="s">
        <v>33</v>
      </c>
      <c r="L599" t="s">
        <v>160</v>
      </c>
      <c r="M599">
        <v>6</v>
      </c>
      <c r="N599">
        <v>19988</v>
      </c>
      <c r="O599">
        <v>119928</v>
      </c>
      <c r="P599" t="s">
        <v>61</v>
      </c>
      <c r="Q599">
        <v>10</v>
      </c>
      <c r="R599">
        <v>1</v>
      </c>
      <c r="S599" t="s">
        <v>28</v>
      </c>
    </row>
    <row r="600" spans="1:19" x14ac:dyDescent="0.3">
      <c r="A600">
        <v>597</v>
      </c>
      <c r="B600" t="s">
        <v>980</v>
      </c>
      <c r="C600" s="6">
        <v>45888</v>
      </c>
      <c r="D600" s="2" t="str">
        <f t="shared" si="18"/>
        <v>August</v>
      </c>
      <c r="E600" t="s">
        <v>770</v>
      </c>
      <c r="F600">
        <v>43</v>
      </c>
      <c r="G600" t="str">
        <f t="shared" si="19"/>
        <v>Adult</v>
      </c>
      <c r="H600" t="s">
        <v>22</v>
      </c>
      <c r="I600" t="s">
        <v>23</v>
      </c>
      <c r="J600" t="s">
        <v>50</v>
      </c>
      <c r="K600" t="s">
        <v>44</v>
      </c>
      <c r="L600" t="s">
        <v>121</v>
      </c>
      <c r="M600">
        <v>6</v>
      </c>
      <c r="N600">
        <v>24845</v>
      </c>
      <c r="O600">
        <v>149070</v>
      </c>
      <c r="P600" t="s">
        <v>53</v>
      </c>
      <c r="Q600">
        <v>7</v>
      </c>
      <c r="R600">
        <v>3</v>
      </c>
      <c r="S600" t="s">
        <v>46</v>
      </c>
    </row>
    <row r="601" spans="1:19" x14ac:dyDescent="0.3">
      <c r="A601">
        <v>598</v>
      </c>
      <c r="B601" t="s">
        <v>981</v>
      </c>
      <c r="C601" s="6">
        <v>45889</v>
      </c>
      <c r="D601" s="2" t="str">
        <f t="shared" si="18"/>
        <v>August</v>
      </c>
      <c r="E601" t="s">
        <v>484</v>
      </c>
      <c r="F601">
        <v>50</v>
      </c>
      <c r="G601" t="str">
        <f t="shared" si="19"/>
        <v>Senior</v>
      </c>
      <c r="H601" t="s">
        <v>22</v>
      </c>
      <c r="I601" t="s">
        <v>43</v>
      </c>
      <c r="J601" t="s">
        <v>32</v>
      </c>
      <c r="K601" t="s">
        <v>33</v>
      </c>
      <c r="L601" t="s">
        <v>153</v>
      </c>
      <c r="M601">
        <v>9</v>
      </c>
      <c r="N601">
        <v>30351</v>
      </c>
      <c r="O601">
        <v>273159</v>
      </c>
      <c r="P601" t="s">
        <v>53</v>
      </c>
      <c r="Q601">
        <v>1</v>
      </c>
      <c r="R601">
        <v>1</v>
      </c>
      <c r="S601" t="s">
        <v>46</v>
      </c>
    </row>
    <row r="602" spans="1:19" x14ac:dyDescent="0.3">
      <c r="A602">
        <v>599</v>
      </c>
      <c r="B602" t="s">
        <v>982</v>
      </c>
      <c r="C602" s="6">
        <v>45890</v>
      </c>
      <c r="D602" s="2" t="str">
        <f t="shared" si="18"/>
        <v>August</v>
      </c>
      <c r="E602" t="s">
        <v>137</v>
      </c>
      <c r="F602">
        <v>18</v>
      </c>
      <c r="G602" t="str">
        <f t="shared" si="19"/>
        <v>Teenager</v>
      </c>
      <c r="H602" t="s">
        <v>42</v>
      </c>
      <c r="I602" t="s">
        <v>23</v>
      </c>
      <c r="J602" t="s">
        <v>24</v>
      </c>
      <c r="K602" t="s">
        <v>44</v>
      </c>
      <c r="L602" t="s">
        <v>178</v>
      </c>
      <c r="M602">
        <v>2</v>
      </c>
      <c r="N602">
        <v>14032</v>
      </c>
      <c r="O602">
        <v>28064</v>
      </c>
      <c r="P602" t="s">
        <v>61</v>
      </c>
      <c r="Q602">
        <v>1</v>
      </c>
      <c r="R602">
        <v>4</v>
      </c>
      <c r="S602" t="s">
        <v>28</v>
      </c>
    </row>
    <row r="603" spans="1:19" x14ac:dyDescent="0.3">
      <c r="A603">
        <v>600</v>
      </c>
      <c r="B603" t="s">
        <v>983</v>
      </c>
      <c r="C603" s="6">
        <v>45891</v>
      </c>
      <c r="D603" s="2" t="str">
        <f t="shared" si="18"/>
        <v>August</v>
      </c>
      <c r="E603" t="s">
        <v>984</v>
      </c>
      <c r="F603">
        <v>45</v>
      </c>
      <c r="G603" t="str">
        <f t="shared" si="19"/>
        <v>Adult</v>
      </c>
      <c r="H603" t="s">
        <v>42</v>
      </c>
      <c r="I603" t="s">
        <v>23</v>
      </c>
      <c r="J603" t="s">
        <v>24</v>
      </c>
      <c r="K603" t="s">
        <v>51</v>
      </c>
      <c r="L603" t="s">
        <v>86</v>
      </c>
      <c r="M603">
        <v>5</v>
      </c>
      <c r="N603">
        <v>1981</v>
      </c>
      <c r="O603">
        <v>9905</v>
      </c>
      <c r="P603" t="s">
        <v>53</v>
      </c>
      <c r="Q603">
        <v>7</v>
      </c>
      <c r="R603">
        <v>2</v>
      </c>
      <c r="S603" t="s">
        <v>28</v>
      </c>
    </row>
    <row r="604" spans="1:19" x14ac:dyDescent="0.3">
      <c r="A604">
        <v>601</v>
      </c>
      <c r="B604" t="s">
        <v>985</v>
      </c>
      <c r="C604" s="6">
        <v>45892</v>
      </c>
      <c r="D604" s="2" t="str">
        <f t="shared" si="18"/>
        <v>August</v>
      </c>
      <c r="E604" t="s">
        <v>986</v>
      </c>
      <c r="F604">
        <v>40</v>
      </c>
      <c r="G604" t="str">
        <f t="shared" si="19"/>
        <v>Adult</v>
      </c>
      <c r="H604" t="s">
        <v>42</v>
      </c>
      <c r="I604" t="s">
        <v>120</v>
      </c>
      <c r="J604" t="s">
        <v>65</v>
      </c>
      <c r="K604" t="s">
        <v>44</v>
      </c>
      <c r="L604" t="s">
        <v>224</v>
      </c>
      <c r="M604">
        <v>7</v>
      </c>
      <c r="N604">
        <v>32001</v>
      </c>
      <c r="O604">
        <v>224007</v>
      </c>
      <c r="P604" t="s">
        <v>116</v>
      </c>
      <c r="Q604">
        <v>9</v>
      </c>
      <c r="R604">
        <v>4</v>
      </c>
      <c r="S604" t="s">
        <v>46</v>
      </c>
    </row>
    <row r="605" spans="1:19" x14ac:dyDescent="0.3">
      <c r="A605">
        <v>602</v>
      </c>
      <c r="B605" t="s">
        <v>987</v>
      </c>
      <c r="C605" s="6">
        <v>45893</v>
      </c>
      <c r="D605" s="2" t="str">
        <f t="shared" si="18"/>
        <v>August</v>
      </c>
      <c r="E605" t="s">
        <v>685</v>
      </c>
      <c r="F605">
        <v>39</v>
      </c>
      <c r="G605" t="str">
        <f t="shared" si="19"/>
        <v>Adult</v>
      </c>
      <c r="H605" t="s">
        <v>42</v>
      </c>
      <c r="I605" t="s">
        <v>49</v>
      </c>
      <c r="J605" t="s">
        <v>65</v>
      </c>
      <c r="K605" t="s">
        <v>51</v>
      </c>
      <c r="L605" t="s">
        <v>52</v>
      </c>
      <c r="M605">
        <v>3</v>
      </c>
      <c r="N605">
        <v>1607</v>
      </c>
      <c r="O605">
        <v>4821</v>
      </c>
      <c r="P605" t="s">
        <v>53</v>
      </c>
      <c r="Q605">
        <v>9</v>
      </c>
      <c r="R605">
        <v>5</v>
      </c>
      <c r="S605" t="s">
        <v>46</v>
      </c>
    </row>
    <row r="606" spans="1:19" x14ac:dyDescent="0.3">
      <c r="A606">
        <v>603</v>
      </c>
      <c r="B606" t="s">
        <v>988</v>
      </c>
      <c r="C606" s="6">
        <v>45894</v>
      </c>
      <c r="D606" s="2" t="str">
        <f t="shared" si="18"/>
        <v>August</v>
      </c>
      <c r="E606" t="s">
        <v>30</v>
      </c>
      <c r="F606">
        <v>21</v>
      </c>
      <c r="G606" t="str">
        <f t="shared" si="19"/>
        <v>Teenager</v>
      </c>
      <c r="H606" t="s">
        <v>42</v>
      </c>
      <c r="I606" t="s">
        <v>49</v>
      </c>
      <c r="J606" t="s">
        <v>65</v>
      </c>
      <c r="K606" t="s">
        <v>33</v>
      </c>
      <c r="L606" t="s">
        <v>34</v>
      </c>
      <c r="M606">
        <v>10</v>
      </c>
      <c r="N606">
        <v>10737</v>
      </c>
      <c r="O606">
        <v>107370</v>
      </c>
      <c r="P606" t="s">
        <v>61</v>
      </c>
      <c r="Q606">
        <v>5</v>
      </c>
      <c r="R606">
        <v>2</v>
      </c>
      <c r="S606" t="s">
        <v>46</v>
      </c>
    </row>
    <row r="607" spans="1:19" x14ac:dyDescent="0.3">
      <c r="A607">
        <v>604</v>
      </c>
      <c r="B607" t="s">
        <v>989</v>
      </c>
      <c r="C607" s="6">
        <v>45895</v>
      </c>
      <c r="D607" s="2" t="str">
        <f t="shared" si="18"/>
        <v>August</v>
      </c>
      <c r="E607" t="s">
        <v>990</v>
      </c>
      <c r="F607">
        <v>34</v>
      </c>
      <c r="G607" t="str">
        <f t="shared" si="19"/>
        <v>Adult</v>
      </c>
      <c r="H607" t="s">
        <v>22</v>
      </c>
      <c r="I607" t="s">
        <v>49</v>
      </c>
      <c r="J607" t="s">
        <v>32</v>
      </c>
      <c r="K607" t="s">
        <v>44</v>
      </c>
      <c r="L607" t="s">
        <v>45</v>
      </c>
      <c r="M607">
        <v>5</v>
      </c>
      <c r="N607">
        <v>3180</v>
      </c>
      <c r="O607">
        <v>15900</v>
      </c>
      <c r="P607" t="s">
        <v>116</v>
      </c>
      <c r="Q607">
        <v>9</v>
      </c>
      <c r="R607">
        <v>5</v>
      </c>
      <c r="S607" t="s">
        <v>46</v>
      </c>
    </row>
    <row r="608" spans="1:19" x14ac:dyDescent="0.3">
      <c r="A608">
        <v>605</v>
      </c>
      <c r="B608" t="s">
        <v>991</v>
      </c>
      <c r="C608" s="6">
        <v>45896</v>
      </c>
      <c r="D608" s="2" t="str">
        <f t="shared" si="18"/>
        <v>August</v>
      </c>
      <c r="E608" t="s">
        <v>992</v>
      </c>
      <c r="F608">
        <v>60</v>
      </c>
      <c r="G608" t="str">
        <f t="shared" si="19"/>
        <v>Senior</v>
      </c>
      <c r="H608" t="s">
        <v>42</v>
      </c>
      <c r="I608" t="s">
        <v>49</v>
      </c>
      <c r="J608" t="s">
        <v>32</v>
      </c>
      <c r="K608" t="s">
        <v>51</v>
      </c>
      <c r="L608" t="s">
        <v>60</v>
      </c>
      <c r="M608">
        <v>4</v>
      </c>
      <c r="N608">
        <v>357</v>
      </c>
      <c r="O608">
        <v>1428</v>
      </c>
      <c r="P608" t="s">
        <v>53</v>
      </c>
      <c r="Q608">
        <v>10</v>
      </c>
      <c r="R608">
        <v>1</v>
      </c>
      <c r="S608" t="s">
        <v>46</v>
      </c>
    </row>
    <row r="609" spans="1:19" x14ac:dyDescent="0.3">
      <c r="A609">
        <v>606</v>
      </c>
      <c r="B609" t="s">
        <v>993</v>
      </c>
      <c r="C609" s="6">
        <v>45897</v>
      </c>
      <c r="D609" s="2" t="str">
        <f t="shared" si="18"/>
        <v>August</v>
      </c>
      <c r="E609" t="s">
        <v>994</v>
      </c>
      <c r="F609">
        <v>43</v>
      </c>
      <c r="G609" t="str">
        <f t="shared" si="19"/>
        <v>Adult</v>
      </c>
      <c r="H609" t="s">
        <v>42</v>
      </c>
      <c r="I609" t="s">
        <v>43</v>
      </c>
      <c r="J609" t="s">
        <v>50</v>
      </c>
      <c r="K609" t="s">
        <v>44</v>
      </c>
      <c r="L609" t="s">
        <v>121</v>
      </c>
      <c r="M609">
        <v>4</v>
      </c>
      <c r="N609">
        <v>23164</v>
      </c>
      <c r="O609">
        <v>92656</v>
      </c>
      <c r="P609" t="s">
        <v>99</v>
      </c>
      <c r="Q609">
        <v>4</v>
      </c>
      <c r="R609">
        <v>3</v>
      </c>
      <c r="S609" t="s">
        <v>46</v>
      </c>
    </row>
    <row r="610" spans="1:19" x14ac:dyDescent="0.3">
      <c r="A610">
        <v>607</v>
      </c>
      <c r="B610" t="s">
        <v>995</v>
      </c>
      <c r="C610" s="6">
        <v>45898</v>
      </c>
      <c r="D610" s="2" t="str">
        <f t="shared" si="18"/>
        <v>August</v>
      </c>
      <c r="E610" t="s">
        <v>583</v>
      </c>
      <c r="F610">
        <v>44</v>
      </c>
      <c r="G610" t="str">
        <f t="shared" si="19"/>
        <v>Adult</v>
      </c>
      <c r="H610" t="s">
        <v>22</v>
      </c>
      <c r="I610" t="s">
        <v>102</v>
      </c>
      <c r="J610" t="s">
        <v>24</v>
      </c>
      <c r="K610" t="s">
        <v>51</v>
      </c>
      <c r="L610" t="s">
        <v>52</v>
      </c>
      <c r="M610">
        <v>2</v>
      </c>
      <c r="N610">
        <v>630</v>
      </c>
      <c r="O610">
        <v>1260</v>
      </c>
      <c r="P610" t="s">
        <v>61</v>
      </c>
      <c r="Q610">
        <v>8</v>
      </c>
      <c r="R610">
        <v>5</v>
      </c>
      <c r="S610" t="s">
        <v>28</v>
      </c>
    </row>
    <row r="611" spans="1:19" x14ac:dyDescent="0.3">
      <c r="A611">
        <v>608</v>
      </c>
      <c r="B611" t="s">
        <v>996</v>
      </c>
      <c r="C611" s="6">
        <v>45899</v>
      </c>
      <c r="D611" s="2" t="str">
        <f t="shared" si="18"/>
        <v>August</v>
      </c>
      <c r="E611" t="s">
        <v>647</v>
      </c>
      <c r="F611">
        <v>53</v>
      </c>
      <c r="G611" t="str">
        <f t="shared" si="19"/>
        <v>Senior</v>
      </c>
      <c r="H611" t="s">
        <v>22</v>
      </c>
      <c r="I611" t="s">
        <v>80</v>
      </c>
      <c r="J611" t="s">
        <v>32</v>
      </c>
      <c r="K611" t="s">
        <v>38</v>
      </c>
      <c r="L611" t="s">
        <v>71</v>
      </c>
      <c r="M611">
        <v>6</v>
      </c>
      <c r="N611">
        <v>47674</v>
      </c>
      <c r="O611">
        <v>286044</v>
      </c>
      <c r="P611" t="s">
        <v>116</v>
      </c>
      <c r="Q611">
        <v>5</v>
      </c>
      <c r="R611">
        <v>1</v>
      </c>
      <c r="S611" t="s">
        <v>28</v>
      </c>
    </row>
    <row r="612" spans="1:19" x14ac:dyDescent="0.3">
      <c r="A612">
        <v>609</v>
      </c>
      <c r="B612" t="s">
        <v>997</v>
      </c>
      <c r="C612" s="6">
        <v>45900</v>
      </c>
      <c r="D612" s="2" t="str">
        <f t="shared" si="18"/>
        <v>August</v>
      </c>
      <c r="E612" t="s">
        <v>335</v>
      </c>
      <c r="F612">
        <v>18</v>
      </c>
      <c r="G612" t="str">
        <f t="shared" si="19"/>
        <v>Teenager</v>
      </c>
      <c r="H612" t="s">
        <v>42</v>
      </c>
      <c r="I612" t="s">
        <v>37</v>
      </c>
      <c r="J612" t="s">
        <v>65</v>
      </c>
      <c r="K612" t="s">
        <v>33</v>
      </c>
      <c r="L612" t="s">
        <v>173</v>
      </c>
      <c r="M612">
        <v>3</v>
      </c>
      <c r="N612">
        <v>13710</v>
      </c>
      <c r="O612">
        <v>41130</v>
      </c>
      <c r="P612" t="s">
        <v>116</v>
      </c>
      <c r="Q612">
        <v>5</v>
      </c>
      <c r="R612">
        <v>5</v>
      </c>
      <c r="S612" t="s">
        <v>28</v>
      </c>
    </row>
    <row r="613" spans="1:19" x14ac:dyDescent="0.3">
      <c r="A613">
        <v>610</v>
      </c>
      <c r="B613" t="s">
        <v>998</v>
      </c>
      <c r="C613" s="6">
        <v>45901</v>
      </c>
      <c r="D613" s="2" t="str">
        <f t="shared" si="18"/>
        <v>September</v>
      </c>
      <c r="E613" t="s">
        <v>919</v>
      </c>
      <c r="F613">
        <v>25</v>
      </c>
      <c r="G613" t="str">
        <f t="shared" si="19"/>
        <v>Teenager</v>
      </c>
      <c r="H613" t="s">
        <v>22</v>
      </c>
      <c r="I613" t="s">
        <v>31</v>
      </c>
      <c r="J613" t="s">
        <v>65</v>
      </c>
      <c r="K613" t="s">
        <v>33</v>
      </c>
      <c r="L613" t="s">
        <v>89</v>
      </c>
      <c r="M613">
        <v>6</v>
      </c>
      <c r="N613">
        <v>44325</v>
      </c>
      <c r="O613">
        <v>265950</v>
      </c>
      <c r="P613" t="s">
        <v>99</v>
      </c>
      <c r="Q613">
        <v>4</v>
      </c>
      <c r="R613">
        <v>4</v>
      </c>
      <c r="S613" t="s">
        <v>46</v>
      </c>
    </row>
    <row r="614" spans="1:19" x14ac:dyDescent="0.3">
      <c r="A614">
        <v>611</v>
      </c>
      <c r="B614" t="s">
        <v>999</v>
      </c>
      <c r="C614" s="6">
        <v>45902</v>
      </c>
      <c r="D614" s="2" t="str">
        <f t="shared" si="18"/>
        <v>September</v>
      </c>
      <c r="E614" t="s">
        <v>914</v>
      </c>
      <c r="F614">
        <v>25</v>
      </c>
      <c r="G614" t="str">
        <f t="shared" si="19"/>
        <v>Teenager</v>
      </c>
      <c r="H614" t="s">
        <v>22</v>
      </c>
      <c r="I614" t="s">
        <v>120</v>
      </c>
      <c r="J614" t="s">
        <v>32</v>
      </c>
      <c r="K614" t="s">
        <v>25</v>
      </c>
      <c r="L614" t="s">
        <v>94</v>
      </c>
      <c r="M614">
        <v>1</v>
      </c>
      <c r="N614">
        <v>49346</v>
      </c>
      <c r="O614">
        <v>49346</v>
      </c>
      <c r="P614" t="s">
        <v>116</v>
      </c>
      <c r="Q614">
        <v>4</v>
      </c>
      <c r="R614">
        <v>3</v>
      </c>
      <c r="S614" t="s">
        <v>28</v>
      </c>
    </row>
    <row r="615" spans="1:19" x14ac:dyDescent="0.3">
      <c r="A615">
        <v>612</v>
      </c>
      <c r="B615" t="s">
        <v>1000</v>
      </c>
      <c r="C615" s="6">
        <v>45903</v>
      </c>
      <c r="D615" s="2" t="str">
        <f t="shared" si="18"/>
        <v>September</v>
      </c>
      <c r="E615" t="s">
        <v>593</v>
      </c>
      <c r="F615">
        <v>56</v>
      </c>
      <c r="G615" t="str">
        <f t="shared" si="19"/>
        <v>Senior</v>
      </c>
      <c r="H615" t="s">
        <v>22</v>
      </c>
      <c r="I615" t="s">
        <v>49</v>
      </c>
      <c r="J615" t="s">
        <v>65</v>
      </c>
      <c r="K615" t="s">
        <v>51</v>
      </c>
      <c r="L615" t="s">
        <v>86</v>
      </c>
      <c r="M615">
        <v>4</v>
      </c>
      <c r="N615">
        <v>1977</v>
      </c>
      <c r="O615">
        <v>7908</v>
      </c>
      <c r="P615" t="s">
        <v>53</v>
      </c>
      <c r="Q615">
        <v>7</v>
      </c>
      <c r="R615">
        <v>4</v>
      </c>
      <c r="S615" t="s">
        <v>46</v>
      </c>
    </row>
    <row r="616" spans="1:19" x14ac:dyDescent="0.3">
      <c r="A616">
        <v>613</v>
      </c>
      <c r="B616" t="s">
        <v>1001</v>
      </c>
      <c r="C616" s="6">
        <v>45904</v>
      </c>
      <c r="D616" s="2" t="str">
        <f t="shared" si="18"/>
        <v>September</v>
      </c>
      <c r="E616" t="s">
        <v>538</v>
      </c>
      <c r="F616">
        <v>36</v>
      </c>
      <c r="G616" t="str">
        <f t="shared" si="19"/>
        <v>Adult</v>
      </c>
      <c r="H616" t="s">
        <v>42</v>
      </c>
      <c r="I616" t="s">
        <v>102</v>
      </c>
      <c r="J616" t="s">
        <v>24</v>
      </c>
      <c r="K616" t="s">
        <v>44</v>
      </c>
      <c r="L616" t="s">
        <v>121</v>
      </c>
      <c r="M616">
        <v>1</v>
      </c>
      <c r="N616">
        <v>28663</v>
      </c>
      <c r="O616">
        <v>28663</v>
      </c>
      <c r="P616" t="s">
        <v>99</v>
      </c>
      <c r="Q616">
        <v>8</v>
      </c>
      <c r="R616">
        <v>5</v>
      </c>
      <c r="S616" t="s">
        <v>46</v>
      </c>
    </row>
    <row r="617" spans="1:19" x14ac:dyDescent="0.3">
      <c r="A617">
        <v>614</v>
      </c>
      <c r="B617" t="s">
        <v>1002</v>
      </c>
      <c r="C617" s="6">
        <v>45905</v>
      </c>
      <c r="D617" s="2" t="str">
        <f t="shared" si="18"/>
        <v>September</v>
      </c>
      <c r="E617" t="s">
        <v>1003</v>
      </c>
      <c r="F617">
        <v>29</v>
      </c>
      <c r="G617" t="str">
        <f t="shared" si="19"/>
        <v>Teenager</v>
      </c>
      <c r="H617" t="s">
        <v>22</v>
      </c>
      <c r="I617" t="s">
        <v>80</v>
      </c>
      <c r="J617" t="s">
        <v>24</v>
      </c>
      <c r="K617" t="s">
        <v>51</v>
      </c>
      <c r="L617" t="s">
        <v>74</v>
      </c>
      <c r="M617">
        <v>8</v>
      </c>
      <c r="N617">
        <v>329</v>
      </c>
      <c r="O617">
        <v>2632</v>
      </c>
      <c r="P617" t="s">
        <v>116</v>
      </c>
      <c r="Q617">
        <v>7</v>
      </c>
      <c r="R617">
        <v>5</v>
      </c>
      <c r="S617" t="s">
        <v>28</v>
      </c>
    </row>
    <row r="618" spans="1:19" x14ac:dyDescent="0.3">
      <c r="A618">
        <v>615</v>
      </c>
      <c r="B618" t="s">
        <v>1004</v>
      </c>
      <c r="C618" s="6">
        <v>45906</v>
      </c>
      <c r="D618" s="2" t="str">
        <f t="shared" si="18"/>
        <v>September</v>
      </c>
      <c r="E618" t="s">
        <v>248</v>
      </c>
      <c r="F618">
        <v>35</v>
      </c>
      <c r="G618" t="str">
        <f t="shared" si="19"/>
        <v>Adult</v>
      </c>
      <c r="H618" t="s">
        <v>42</v>
      </c>
      <c r="I618" t="s">
        <v>64</v>
      </c>
      <c r="J618" t="s">
        <v>32</v>
      </c>
      <c r="K618" t="s">
        <v>44</v>
      </c>
      <c r="L618" t="s">
        <v>91</v>
      </c>
      <c r="M618">
        <v>6</v>
      </c>
      <c r="N618">
        <v>30245</v>
      </c>
      <c r="O618">
        <v>181470</v>
      </c>
      <c r="P618" t="s">
        <v>99</v>
      </c>
      <c r="Q618">
        <v>10</v>
      </c>
      <c r="R618">
        <v>1</v>
      </c>
      <c r="S618" t="s">
        <v>46</v>
      </c>
    </row>
    <row r="619" spans="1:19" x14ac:dyDescent="0.3">
      <c r="A619">
        <v>616</v>
      </c>
      <c r="B619" t="s">
        <v>1005</v>
      </c>
      <c r="C619" s="6">
        <v>45907</v>
      </c>
      <c r="D619" s="2" t="str">
        <f t="shared" si="18"/>
        <v>September</v>
      </c>
      <c r="E619" t="s">
        <v>1006</v>
      </c>
      <c r="F619">
        <v>40</v>
      </c>
      <c r="G619" t="str">
        <f t="shared" si="19"/>
        <v>Adult</v>
      </c>
      <c r="H619" t="s">
        <v>42</v>
      </c>
      <c r="I619" t="s">
        <v>49</v>
      </c>
      <c r="J619" t="s">
        <v>32</v>
      </c>
      <c r="K619" t="s">
        <v>25</v>
      </c>
      <c r="L619" t="s">
        <v>189</v>
      </c>
      <c r="M619">
        <v>2</v>
      </c>
      <c r="N619">
        <v>33304</v>
      </c>
      <c r="O619">
        <v>66608</v>
      </c>
      <c r="P619" t="s">
        <v>116</v>
      </c>
      <c r="Q619">
        <v>7</v>
      </c>
      <c r="R619">
        <v>5</v>
      </c>
      <c r="S619" t="s">
        <v>28</v>
      </c>
    </row>
    <row r="620" spans="1:19" x14ac:dyDescent="0.3">
      <c r="A620">
        <v>617</v>
      </c>
      <c r="B620" t="s">
        <v>1007</v>
      </c>
      <c r="C620" s="6">
        <v>45908</v>
      </c>
      <c r="D620" s="2" t="str">
        <f t="shared" si="18"/>
        <v>September</v>
      </c>
      <c r="E620" t="s">
        <v>1008</v>
      </c>
      <c r="F620">
        <v>56</v>
      </c>
      <c r="G620" t="str">
        <f t="shared" si="19"/>
        <v>Senior</v>
      </c>
      <c r="H620" t="s">
        <v>42</v>
      </c>
      <c r="I620" t="s">
        <v>49</v>
      </c>
      <c r="J620" t="s">
        <v>50</v>
      </c>
      <c r="K620" t="s">
        <v>25</v>
      </c>
      <c r="L620" t="s">
        <v>77</v>
      </c>
      <c r="M620">
        <v>6</v>
      </c>
      <c r="N620">
        <v>25504</v>
      </c>
      <c r="O620">
        <v>153024</v>
      </c>
      <c r="P620" t="s">
        <v>53</v>
      </c>
      <c r="Q620">
        <v>1</v>
      </c>
      <c r="R620">
        <v>3</v>
      </c>
      <c r="S620" t="s">
        <v>28</v>
      </c>
    </row>
    <row r="621" spans="1:19" x14ac:dyDescent="0.3">
      <c r="A621">
        <v>618</v>
      </c>
      <c r="B621" t="s">
        <v>1009</v>
      </c>
      <c r="C621" s="6">
        <v>45909</v>
      </c>
      <c r="D621" s="2" t="str">
        <f t="shared" si="18"/>
        <v>September</v>
      </c>
      <c r="E621" t="s">
        <v>595</v>
      </c>
      <c r="F621">
        <v>21</v>
      </c>
      <c r="G621" t="str">
        <f t="shared" si="19"/>
        <v>Teenager</v>
      </c>
      <c r="H621" t="s">
        <v>42</v>
      </c>
      <c r="I621" t="s">
        <v>102</v>
      </c>
      <c r="J621" t="s">
        <v>32</v>
      </c>
      <c r="K621" t="s">
        <v>38</v>
      </c>
      <c r="L621" t="s">
        <v>96</v>
      </c>
      <c r="M621">
        <v>10</v>
      </c>
      <c r="N621">
        <v>36169</v>
      </c>
      <c r="O621">
        <v>361690</v>
      </c>
      <c r="P621" t="s">
        <v>116</v>
      </c>
      <c r="Q621">
        <v>4</v>
      </c>
      <c r="R621">
        <v>5</v>
      </c>
      <c r="S621" t="s">
        <v>46</v>
      </c>
    </row>
    <row r="622" spans="1:19" x14ac:dyDescent="0.3">
      <c r="A622">
        <v>619</v>
      </c>
      <c r="B622" t="s">
        <v>1010</v>
      </c>
      <c r="C622" s="6">
        <v>45910</v>
      </c>
      <c r="D622" s="2" t="str">
        <f t="shared" si="18"/>
        <v>September</v>
      </c>
      <c r="E622" t="s">
        <v>119</v>
      </c>
      <c r="F622">
        <v>43</v>
      </c>
      <c r="G622" t="str">
        <f t="shared" si="19"/>
        <v>Adult</v>
      </c>
      <c r="H622" t="s">
        <v>22</v>
      </c>
      <c r="I622" t="s">
        <v>43</v>
      </c>
      <c r="J622" t="s">
        <v>50</v>
      </c>
      <c r="K622" t="s">
        <v>51</v>
      </c>
      <c r="L622" t="s">
        <v>111</v>
      </c>
      <c r="M622">
        <v>2</v>
      </c>
      <c r="N622">
        <v>887</v>
      </c>
      <c r="O622">
        <v>1774</v>
      </c>
      <c r="P622" t="s">
        <v>99</v>
      </c>
      <c r="Q622">
        <v>2</v>
      </c>
      <c r="R622">
        <v>4</v>
      </c>
      <c r="S622" t="s">
        <v>46</v>
      </c>
    </row>
    <row r="623" spans="1:19" x14ac:dyDescent="0.3">
      <c r="A623">
        <v>620</v>
      </c>
      <c r="B623" t="s">
        <v>1011</v>
      </c>
      <c r="C623" s="6">
        <v>45911</v>
      </c>
      <c r="D623" s="2" t="str">
        <f t="shared" si="18"/>
        <v>September</v>
      </c>
      <c r="E623" t="s">
        <v>304</v>
      </c>
      <c r="F623">
        <v>22</v>
      </c>
      <c r="G623" t="str">
        <f t="shared" si="19"/>
        <v>Teenager</v>
      </c>
      <c r="H623" t="s">
        <v>22</v>
      </c>
      <c r="I623" t="s">
        <v>37</v>
      </c>
      <c r="J623" t="s">
        <v>32</v>
      </c>
      <c r="K623" t="s">
        <v>33</v>
      </c>
      <c r="L623" t="s">
        <v>173</v>
      </c>
      <c r="M623">
        <v>6</v>
      </c>
      <c r="N623">
        <v>41720</v>
      </c>
      <c r="O623">
        <v>250320</v>
      </c>
      <c r="P623" t="s">
        <v>27</v>
      </c>
      <c r="Q623">
        <v>3</v>
      </c>
      <c r="R623">
        <v>2</v>
      </c>
      <c r="S623" t="s">
        <v>28</v>
      </c>
    </row>
    <row r="624" spans="1:19" x14ac:dyDescent="0.3">
      <c r="A624">
        <v>621</v>
      </c>
      <c r="B624" t="s">
        <v>1012</v>
      </c>
      <c r="C624" s="6">
        <v>45912</v>
      </c>
      <c r="D624" s="2" t="str">
        <f t="shared" si="18"/>
        <v>September</v>
      </c>
      <c r="E624" t="s">
        <v>626</v>
      </c>
      <c r="F624">
        <v>25</v>
      </c>
      <c r="G624" t="str">
        <f t="shared" si="19"/>
        <v>Teenager</v>
      </c>
      <c r="H624" t="s">
        <v>42</v>
      </c>
      <c r="I624" t="s">
        <v>64</v>
      </c>
      <c r="J624" t="s">
        <v>65</v>
      </c>
      <c r="K624" t="s">
        <v>25</v>
      </c>
      <c r="L624" t="s">
        <v>189</v>
      </c>
      <c r="M624">
        <v>9</v>
      </c>
      <c r="N624">
        <v>11164</v>
      </c>
      <c r="O624">
        <v>100476</v>
      </c>
      <c r="P624" t="s">
        <v>116</v>
      </c>
      <c r="Q624">
        <v>2</v>
      </c>
      <c r="R624">
        <v>1</v>
      </c>
      <c r="S624" t="s">
        <v>28</v>
      </c>
    </row>
    <row r="625" spans="1:19" x14ac:dyDescent="0.3">
      <c r="A625">
        <v>622</v>
      </c>
      <c r="B625" t="s">
        <v>1013</v>
      </c>
      <c r="C625" s="6">
        <v>45913</v>
      </c>
      <c r="D625" s="2" t="str">
        <f t="shared" si="18"/>
        <v>September</v>
      </c>
      <c r="E625" t="s">
        <v>30</v>
      </c>
      <c r="F625">
        <v>53</v>
      </c>
      <c r="G625" t="str">
        <f t="shared" si="19"/>
        <v>Senior</v>
      </c>
      <c r="H625" t="s">
        <v>42</v>
      </c>
      <c r="I625" t="s">
        <v>37</v>
      </c>
      <c r="J625" t="s">
        <v>65</v>
      </c>
      <c r="K625" t="s">
        <v>33</v>
      </c>
      <c r="L625" t="s">
        <v>153</v>
      </c>
      <c r="M625">
        <v>7</v>
      </c>
      <c r="N625">
        <v>18786</v>
      </c>
      <c r="O625">
        <v>131502</v>
      </c>
      <c r="P625" t="s">
        <v>27</v>
      </c>
      <c r="Q625">
        <v>10</v>
      </c>
      <c r="R625">
        <v>3</v>
      </c>
      <c r="S625" t="s">
        <v>28</v>
      </c>
    </row>
    <row r="626" spans="1:19" x14ac:dyDescent="0.3">
      <c r="A626">
        <v>623</v>
      </c>
      <c r="B626" t="s">
        <v>1014</v>
      </c>
      <c r="C626" s="6">
        <v>45914</v>
      </c>
      <c r="D626" s="2" t="str">
        <f t="shared" si="18"/>
        <v>September</v>
      </c>
      <c r="E626" t="s">
        <v>564</v>
      </c>
      <c r="F626">
        <v>25</v>
      </c>
      <c r="G626" t="str">
        <f t="shared" si="19"/>
        <v>Teenager</v>
      </c>
      <c r="H626" t="s">
        <v>22</v>
      </c>
      <c r="I626" t="s">
        <v>37</v>
      </c>
      <c r="J626" t="s">
        <v>24</v>
      </c>
      <c r="K626" t="s">
        <v>44</v>
      </c>
      <c r="L626" t="s">
        <v>224</v>
      </c>
      <c r="M626">
        <v>7</v>
      </c>
      <c r="N626">
        <v>29752</v>
      </c>
      <c r="O626">
        <v>208264</v>
      </c>
      <c r="P626" t="s">
        <v>116</v>
      </c>
      <c r="Q626">
        <v>5</v>
      </c>
      <c r="R626">
        <v>2</v>
      </c>
      <c r="S626" t="s">
        <v>46</v>
      </c>
    </row>
    <row r="627" spans="1:19" x14ac:dyDescent="0.3">
      <c r="A627">
        <v>624</v>
      </c>
      <c r="B627" t="s">
        <v>1015</v>
      </c>
      <c r="C627" s="6">
        <v>45915</v>
      </c>
      <c r="D627" s="2" t="str">
        <f t="shared" si="18"/>
        <v>September</v>
      </c>
      <c r="E627" t="s">
        <v>839</v>
      </c>
      <c r="F627">
        <v>57</v>
      </c>
      <c r="G627" t="str">
        <f t="shared" si="19"/>
        <v>Senior</v>
      </c>
      <c r="H627" t="s">
        <v>42</v>
      </c>
      <c r="I627" t="s">
        <v>49</v>
      </c>
      <c r="J627" t="s">
        <v>24</v>
      </c>
      <c r="K627" t="s">
        <v>33</v>
      </c>
      <c r="L627" t="s">
        <v>89</v>
      </c>
      <c r="M627">
        <v>10</v>
      </c>
      <c r="N627">
        <v>5481</v>
      </c>
      <c r="O627">
        <v>54810</v>
      </c>
      <c r="P627" t="s">
        <v>61</v>
      </c>
      <c r="Q627">
        <v>8</v>
      </c>
      <c r="R627">
        <v>2</v>
      </c>
      <c r="S627" t="s">
        <v>28</v>
      </c>
    </row>
    <row r="628" spans="1:19" x14ac:dyDescent="0.3">
      <c r="A628">
        <v>625</v>
      </c>
      <c r="B628" t="s">
        <v>1016</v>
      </c>
      <c r="C628" s="6">
        <v>45916</v>
      </c>
      <c r="D628" s="2" t="str">
        <f t="shared" si="18"/>
        <v>September</v>
      </c>
      <c r="E628" t="s">
        <v>914</v>
      </c>
      <c r="F628">
        <v>49</v>
      </c>
      <c r="G628" t="str">
        <f t="shared" si="19"/>
        <v>Adult</v>
      </c>
      <c r="H628" t="s">
        <v>42</v>
      </c>
      <c r="I628" t="s">
        <v>31</v>
      </c>
      <c r="J628" t="s">
        <v>50</v>
      </c>
      <c r="K628" t="s">
        <v>33</v>
      </c>
      <c r="L628" t="s">
        <v>153</v>
      </c>
      <c r="M628">
        <v>5</v>
      </c>
      <c r="N628">
        <v>7905</v>
      </c>
      <c r="O628">
        <v>39525</v>
      </c>
      <c r="P628" t="s">
        <v>27</v>
      </c>
      <c r="Q628">
        <v>5</v>
      </c>
      <c r="R628">
        <v>3</v>
      </c>
      <c r="S628" t="s">
        <v>28</v>
      </c>
    </row>
    <row r="629" spans="1:19" x14ac:dyDescent="0.3">
      <c r="A629">
        <v>626</v>
      </c>
      <c r="B629" t="s">
        <v>1017</v>
      </c>
      <c r="C629" s="6">
        <v>45917</v>
      </c>
      <c r="D629" s="2" t="str">
        <f t="shared" si="18"/>
        <v>September</v>
      </c>
      <c r="E629" t="s">
        <v>607</v>
      </c>
      <c r="F629">
        <v>51</v>
      </c>
      <c r="G629" t="str">
        <f t="shared" si="19"/>
        <v>Senior</v>
      </c>
      <c r="H629" t="s">
        <v>22</v>
      </c>
      <c r="I629" t="s">
        <v>37</v>
      </c>
      <c r="J629" t="s">
        <v>50</v>
      </c>
      <c r="K629" t="s">
        <v>38</v>
      </c>
      <c r="L629" t="s">
        <v>71</v>
      </c>
      <c r="M629">
        <v>10</v>
      </c>
      <c r="N629">
        <v>12026</v>
      </c>
      <c r="O629">
        <v>120260</v>
      </c>
      <c r="P629" t="s">
        <v>61</v>
      </c>
      <c r="Q629">
        <v>5</v>
      </c>
      <c r="R629">
        <v>3</v>
      </c>
      <c r="S629" t="s">
        <v>46</v>
      </c>
    </row>
    <row r="630" spans="1:19" x14ac:dyDescent="0.3">
      <c r="A630">
        <v>627</v>
      </c>
      <c r="B630" t="s">
        <v>1018</v>
      </c>
      <c r="C630" s="6">
        <v>45918</v>
      </c>
      <c r="D630" s="2" t="str">
        <f t="shared" si="18"/>
        <v>September</v>
      </c>
      <c r="E630" t="s">
        <v>859</v>
      </c>
      <c r="F630">
        <v>59</v>
      </c>
      <c r="G630" t="str">
        <f t="shared" si="19"/>
        <v>Senior</v>
      </c>
      <c r="H630" t="s">
        <v>22</v>
      </c>
      <c r="I630" t="s">
        <v>80</v>
      </c>
      <c r="J630" t="s">
        <v>32</v>
      </c>
      <c r="K630" t="s">
        <v>33</v>
      </c>
      <c r="L630" t="s">
        <v>160</v>
      </c>
      <c r="M630">
        <v>8</v>
      </c>
      <c r="N630">
        <v>4982</v>
      </c>
      <c r="O630">
        <v>39856</v>
      </c>
      <c r="P630" t="s">
        <v>99</v>
      </c>
      <c r="Q630">
        <v>3</v>
      </c>
      <c r="R630">
        <v>4</v>
      </c>
      <c r="S630" t="s">
        <v>28</v>
      </c>
    </row>
    <row r="631" spans="1:19" x14ac:dyDescent="0.3">
      <c r="A631">
        <v>628</v>
      </c>
      <c r="B631" t="s">
        <v>1019</v>
      </c>
      <c r="C631" s="6">
        <v>45919</v>
      </c>
      <c r="D631" s="2" t="str">
        <f t="shared" si="18"/>
        <v>September</v>
      </c>
      <c r="E631" t="s">
        <v>580</v>
      </c>
      <c r="F631">
        <v>54</v>
      </c>
      <c r="G631" t="str">
        <f t="shared" si="19"/>
        <v>Senior</v>
      </c>
      <c r="H631" t="s">
        <v>42</v>
      </c>
      <c r="I631" t="s">
        <v>31</v>
      </c>
      <c r="J631" t="s">
        <v>24</v>
      </c>
      <c r="K631" t="s">
        <v>25</v>
      </c>
      <c r="L631" t="s">
        <v>94</v>
      </c>
      <c r="M631">
        <v>10</v>
      </c>
      <c r="N631">
        <v>31362</v>
      </c>
      <c r="O631">
        <v>313620</v>
      </c>
      <c r="P631" t="s">
        <v>53</v>
      </c>
      <c r="Q631">
        <v>1</v>
      </c>
      <c r="R631">
        <v>1</v>
      </c>
      <c r="S631" t="s">
        <v>28</v>
      </c>
    </row>
    <row r="632" spans="1:19" x14ac:dyDescent="0.3">
      <c r="A632">
        <v>629</v>
      </c>
      <c r="B632" t="s">
        <v>1020</v>
      </c>
      <c r="C632" s="6">
        <v>45920</v>
      </c>
      <c r="D632" s="2" t="str">
        <f t="shared" si="18"/>
        <v>September</v>
      </c>
      <c r="E632" t="s">
        <v>1021</v>
      </c>
      <c r="F632">
        <v>28</v>
      </c>
      <c r="G632" t="str">
        <f t="shared" si="19"/>
        <v>Teenager</v>
      </c>
      <c r="H632" t="s">
        <v>22</v>
      </c>
      <c r="I632" t="s">
        <v>49</v>
      </c>
      <c r="J632" t="s">
        <v>50</v>
      </c>
      <c r="K632" t="s">
        <v>25</v>
      </c>
      <c r="L632" t="s">
        <v>77</v>
      </c>
      <c r="M632">
        <v>2</v>
      </c>
      <c r="N632">
        <v>35316</v>
      </c>
      <c r="O632">
        <v>70632</v>
      </c>
      <c r="P632" t="s">
        <v>116</v>
      </c>
      <c r="Q632">
        <v>5</v>
      </c>
      <c r="R632">
        <v>3</v>
      </c>
      <c r="S632" t="s">
        <v>46</v>
      </c>
    </row>
    <row r="633" spans="1:19" x14ac:dyDescent="0.3">
      <c r="A633">
        <v>630</v>
      </c>
      <c r="B633" t="s">
        <v>1022</v>
      </c>
      <c r="C633" s="6">
        <v>45921</v>
      </c>
      <c r="D633" s="2" t="str">
        <f t="shared" si="18"/>
        <v>September</v>
      </c>
      <c r="E633" t="s">
        <v>712</v>
      </c>
      <c r="F633">
        <v>45</v>
      </c>
      <c r="G633" t="str">
        <f t="shared" si="19"/>
        <v>Adult</v>
      </c>
      <c r="H633" t="s">
        <v>22</v>
      </c>
      <c r="I633" t="s">
        <v>23</v>
      </c>
      <c r="J633" t="s">
        <v>65</v>
      </c>
      <c r="K633" t="s">
        <v>44</v>
      </c>
      <c r="L633" t="s">
        <v>224</v>
      </c>
      <c r="M633">
        <v>7</v>
      </c>
      <c r="N633">
        <v>11012</v>
      </c>
      <c r="O633">
        <v>77084</v>
      </c>
      <c r="P633" t="s">
        <v>53</v>
      </c>
      <c r="Q633">
        <v>8</v>
      </c>
      <c r="R633">
        <v>2</v>
      </c>
      <c r="S633" t="s">
        <v>28</v>
      </c>
    </row>
    <row r="634" spans="1:19" x14ac:dyDescent="0.3">
      <c r="A634">
        <v>631</v>
      </c>
      <c r="B634" t="s">
        <v>1023</v>
      </c>
      <c r="C634" s="6">
        <v>45922</v>
      </c>
      <c r="D634" s="2" t="str">
        <f t="shared" si="18"/>
        <v>September</v>
      </c>
      <c r="E634" t="s">
        <v>456</v>
      </c>
      <c r="F634">
        <v>29</v>
      </c>
      <c r="G634" t="str">
        <f t="shared" si="19"/>
        <v>Teenager</v>
      </c>
      <c r="H634" t="s">
        <v>22</v>
      </c>
      <c r="I634" t="s">
        <v>49</v>
      </c>
      <c r="J634" t="s">
        <v>50</v>
      </c>
      <c r="K634" t="s">
        <v>33</v>
      </c>
      <c r="L634" t="s">
        <v>173</v>
      </c>
      <c r="M634">
        <v>5</v>
      </c>
      <c r="N634">
        <v>38288</v>
      </c>
      <c r="O634">
        <v>191440</v>
      </c>
      <c r="P634" t="s">
        <v>27</v>
      </c>
      <c r="Q634">
        <v>10</v>
      </c>
      <c r="R634">
        <v>1</v>
      </c>
      <c r="S634" t="s">
        <v>46</v>
      </c>
    </row>
    <row r="635" spans="1:19" x14ac:dyDescent="0.3">
      <c r="A635">
        <v>632</v>
      </c>
      <c r="B635" t="s">
        <v>1024</v>
      </c>
      <c r="C635" s="6">
        <v>45923</v>
      </c>
      <c r="D635" s="2" t="str">
        <f t="shared" si="18"/>
        <v>September</v>
      </c>
      <c r="E635" t="s">
        <v>490</v>
      </c>
      <c r="F635">
        <v>24</v>
      </c>
      <c r="G635" t="str">
        <f t="shared" si="19"/>
        <v>Teenager</v>
      </c>
      <c r="H635" t="s">
        <v>22</v>
      </c>
      <c r="I635" t="s">
        <v>31</v>
      </c>
      <c r="J635" t="s">
        <v>24</v>
      </c>
      <c r="K635" t="s">
        <v>51</v>
      </c>
      <c r="L635" t="s">
        <v>52</v>
      </c>
      <c r="M635">
        <v>4</v>
      </c>
      <c r="N635">
        <v>506</v>
      </c>
      <c r="O635">
        <v>2024</v>
      </c>
      <c r="P635" t="s">
        <v>27</v>
      </c>
      <c r="Q635">
        <v>9</v>
      </c>
      <c r="R635">
        <v>4</v>
      </c>
      <c r="S635" t="s">
        <v>46</v>
      </c>
    </row>
    <row r="636" spans="1:19" x14ac:dyDescent="0.3">
      <c r="A636">
        <v>633</v>
      </c>
      <c r="B636" t="s">
        <v>1025</v>
      </c>
      <c r="C636" s="6">
        <v>45924</v>
      </c>
      <c r="D636" s="2" t="str">
        <f t="shared" si="18"/>
        <v>September</v>
      </c>
      <c r="E636" t="s">
        <v>593</v>
      </c>
      <c r="F636">
        <v>32</v>
      </c>
      <c r="G636" t="str">
        <f t="shared" si="19"/>
        <v>Adult</v>
      </c>
      <c r="H636" t="s">
        <v>42</v>
      </c>
      <c r="I636" t="s">
        <v>37</v>
      </c>
      <c r="J636" t="s">
        <v>32</v>
      </c>
      <c r="K636" t="s">
        <v>33</v>
      </c>
      <c r="L636" t="s">
        <v>173</v>
      </c>
      <c r="M636">
        <v>2</v>
      </c>
      <c r="N636">
        <v>4258</v>
      </c>
      <c r="O636">
        <v>8516</v>
      </c>
      <c r="P636" t="s">
        <v>61</v>
      </c>
      <c r="Q636">
        <v>5</v>
      </c>
      <c r="R636">
        <v>1</v>
      </c>
      <c r="S636" t="s">
        <v>46</v>
      </c>
    </row>
    <row r="637" spans="1:19" x14ac:dyDescent="0.3">
      <c r="A637">
        <v>634</v>
      </c>
      <c r="B637" t="s">
        <v>1026</v>
      </c>
      <c r="C637" s="6">
        <v>45925</v>
      </c>
      <c r="D637" s="2" t="str">
        <f t="shared" si="18"/>
        <v>September</v>
      </c>
      <c r="E637" t="s">
        <v>1027</v>
      </c>
      <c r="F637">
        <v>37</v>
      </c>
      <c r="G637" t="str">
        <f t="shared" si="19"/>
        <v>Adult</v>
      </c>
      <c r="H637" t="s">
        <v>42</v>
      </c>
      <c r="I637" t="s">
        <v>23</v>
      </c>
      <c r="J637" t="s">
        <v>50</v>
      </c>
      <c r="K637" t="s">
        <v>33</v>
      </c>
      <c r="L637" t="s">
        <v>173</v>
      </c>
      <c r="M637">
        <v>1</v>
      </c>
      <c r="N637">
        <v>31263</v>
      </c>
      <c r="O637">
        <v>31263</v>
      </c>
      <c r="P637" t="s">
        <v>116</v>
      </c>
      <c r="Q637">
        <v>9</v>
      </c>
      <c r="R637">
        <v>2</v>
      </c>
      <c r="S637" t="s">
        <v>46</v>
      </c>
    </row>
    <row r="638" spans="1:19" x14ac:dyDescent="0.3">
      <c r="A638">
        <v>635</v>
      </c>
      <c r="B638" t="s">
        <v>1028</v>
      </c>
      <c r="C638" s="6">
        <v>45926</v>
      </c>
      <c r="D638" s="2" t="str">
        <f t="shared" si="18"/>
        <v>September</v>
      </c>
      <c r="E638" t="s">
        <v>1029</v>
      </c>
      <c r="F638">
        <v>58</v>
      </c>
      <c r="G638" t="str">
        <f t="shared" si="19"/>
        <v>Senior</v>
      </c>
      <c r="H638" t="s">
        <v>22</v>
      </c>
      <c r="I638" t="s">
        <v>43</v>
      </c>
      <c r="J638" t="s">
        <v>24</v>
      </c>
      <c r="K638" t="s">
        <v>44</v>
      </c>
      <c r="L638" t="s">
        <v>224</v>
      </c>
      <c r="M638">
        <v>4</v>
      </c>
      <c r="N638">
        <v>10142</v>
      </c>
      <c r="O638">
        <v>40568</v>
      </c>
      <c r="P638" t="s">
        <v>53</v>
      </c>
      <c r="Q638">
        <v>7</v>
      </c>
      <c r="R638">
        <v>2</v>
      </c>
      <c r="S638" t="s">
        <v>46</v>
      </c>
    </row>
    <row r="639" spans="1:19" x14ac:dyDescent="0.3">
      <c r="A639">
        <v>636</v>
      </c>
      <c r="B639" t="s">
        <v>1030</v>
      </c>
      <c r="C639" s="6">
        <v>45927</v>
      </c>
      <c r="D639" s="2" t="str">
        <f t="shared" si="18"/>
        <v>September</v>
      </c>
      <c r="E639" t="s">
        <v>593</v>
      </c>
      <c r="F639">
        <v>47</v>
      </c>
      <c r="G639" t="str">
        <f t="shared" si="19"/>
        <v>Adult</v>
      </c>
      <c r="H639" t="s">
        <v>42</v>
      </c>
      <c r="I639" t="s">
        <v>37</v>
      </c>
      <c r="J639" t="s">
        <v>65</v>
      </c>
      <c r="K639" t="s">
        <v>44</v>
      </c>
      <c r="L639" t="s">
        <v>91</v>
      </c>
      <c r="M639">
        <v>3</v>
      </c>
      <c r="N639">
        <v>17265</v>
      </c>
      <c r="O639">
        <v>51795</v>
      </c>
      <c r="P639" t="s">
        <v>99</v>
      </c>
      <c r="Q639">
        <v>6</v>
      </c>
      <c r="R639">
        <v>1</v>
      </c>
      <c r="S639" t="s">
        <v>46</v>
      </c>
    </row>
    <row r="640" spans="1:19" x14ac:dyDescent="0.3">
      <c r="A640">
        <v>637</v>
      </c>
      <c r="B640" t="s">
        <v>1031</v>
      </c>
      <c r="C640" s="6">
        <v>45928</v>
      </c>
      <c r="D640" s="2" t="str">
        <f t="shared" si="18"/>
        <v>September</v>
      </c>
      <c r="E640" t="s">
        <v>1032</v>
      </c>
      <c r="F640">
        <v>59</v>
      </c>
      <c r="G640" t="str">
        <f t="shared" si="19"/>
        <v>Senior</v>
      </c>
      <c r="H640" t="s">
        <v>42</v>
      </c>
      <c r="I640" t="s">
        <v>23</v>
      </c>
      <c r="J640" t="s">
        <v>32</v>
      </c>
      <c r="K640" t="s">
        <v>38</v>
      </c>
      <c r="L640" t="s">
        <v>39</v>
      </c>
      <c r="M640">
        <v>2</v>
      </c>
      <c r="N640">
        <v>23808</v>
      </c>
      <c r="O640">
        <v>47616</v>
      </c>
      <c r="P640" t="s">
        <v>99</v>
      </c>
      <c r="Q640">
        <v>9</v>
      </c>
      <c r="R640">
        <v>2</v>
      </c>
      <c r="S640" t="s">
        <v>28</v>
      </c>
    </row>
    <row r="641" spans="1:19" x14ac:dyDescent="0.3">
      <c r="A641">
        <v>638</v>
      </c>
      <c r="B641" t="s">
        <v>1033</v>
      </c>
      <c r="C641" s="6">
        <v>45929</v>
      </c>
      <c r="D641" s="2" t="str">
        <f t="shared" si="18"/>
        <v>September</v>
      </c>
      <c r="E641" t="s">
        <v>162</v>
      </c>
      <c r="F641">
        <v>37</v>
      </c>
      <c r="G641" t="str">
        <f t="shared" si="19"/>
        <v>Adult</v>
      </c>
      <c r="H641" t="s">
        <v>42</v>
      </c>
      <c r="I641" t="s">
        <v>23</v>
      </c>
      <c r="J641" t="s">
        <v>65</v>
      </c>
      <c r="K641" t="s">
        <v>44</v>
      </c>
      <c r="L641" t="s">
        <v>178</v>
      </c>
      <c r="M641">
        <v>3</v>
      </c>
      <c r="N641">
        <v>14875</v>
      </c>
      <c r="O641">
        <v>44625</v>
      </c>
      <c r="P641" t="s">
        <v>99</v>
      </c>
      <c r="Q641">
        <v>9</v>
      </c>
      <c r="R641">
        <v>2</v>
      </c>
      <c r="S641" t="s">
        <v>28</v>
      </c>
    </row>
    <row r="642" spans="1:19" x14ac:dyDescent="0.3">
      <c r="A642">
        <v>639</v>
      </c>
      <c r="B642" t="s">
        <v>1034</v>
      </c>
      <c r="C642" s="6">
        <v>45930</v>
      </c>
      <c r="D642" s="2" t="str">
        <f t="shared" si="18"/>
        <v>September</v>
      </c>
      <c r="E642" t="s">
        <v>576</v>
      </c>
      <c r="F642">
        <v>57</v>
      </c>
      <c r="G642" t="str">
        <f t="shared" si="19"/>
        <v>Senior</v>
      </c>
      <c r="H642" t="s">
        <v>42</v>
      </c>
      <c r="I642" t="s">
        <v>37</v>
      </c>
      <c r="J642" t="s">
        <v>50</v>
      </c>
      <c r="K642" t="s">
        <v>33</v>
      </c>
      <c r="L642" t="s">
        <v>173</v>
      </c>
      <c r="M642">
        <v>2</v>
      </c>
      <c r="N642">
        <v>37499</v>
      </c>
      <c r="O642">
        <v>74998</v>
      </c>
      <c r="P642" t="s">
        <v>99</v>
      </c>
      <c r="Q642">
        <v>3</v>
      </c>
      <c r="R642">
        <v>5</v>
      </c>
      <c r="S642" t="s">
        <v>28</v>
      </c>
    </row>
    <row r="643" spans="1:19" x14ac:dyDescent="0.3">
      <c r="A643">
        <v>640</v>
      </c>
      <c r="B643" t="s">
        <v>1035</v>
      </c>
      <c r="C643" s="6">
        <v>45931</v>
      </c>
      <c r="D643" s="2" t="str">
        <f t="shared" si="18"/>
        <v>October</v>
      </c>
      <c r="E643" t="s">
        <v>1036</v>
      </c>
      <c r="F643">
        <v>31</v>
      </c>
      <c r="G643" t="str">
        <f t="shared" si="19"/>
        <v>Adult</v>
      </c>
      <c r="H643" t="s">
        <v>22</v>
      </c>
      <c r="I643" t="s">
        <v>64</v>
      </c>
      <c r="J643" t="s">
        <v>24</v>
      </c>
      <c r="K643" t="s">
        <v>51</v>
      </c>
      <c r="L643" t="s">
        <v>52</v>
      </c>
      <c r="M643">
        <v>10</v>
      </c>
      <c r="N643">
        <v>1857</v>
      </c>
      <c r="O643">
        <v>18570</v>
      </c>
      <c r="P643" t="s">
        <v>27</v>
      </c>
      <c r="Q643">
        <v>5</v>
      </c>
      <c r="R643">
        <v>5</v>
      </c>
      <c r="S643" t="s">
        <v>46</v>
      </c>
    </row>
    <row r="644" spans="1:19" x14ac:dyDescent="0.3">
      <c r="A644">
        <v>641</v>
      </c>
      <c r="B644" t="s">
        <v>1037</v>
      </c>
      <c r="C644" s="6">
        <v>45932</v>
      </c>
      <c r="D644" s="2" t="str">
        <f t="shared" ref="D644:D707" si="20">TEXT(C644,"mmmm")</f>
        <v>October</v>
      </c>
      <c r="E644" t="s">
        <v>110</v>
      </c>
      <c r="F644">
        <v>39</v>
      </c>
      <c r="G644" t="str">
        <f t="shared" ref="G644:G707" si="21">IF(F644&gt;=50,"Senior",IF(F644&gt;=30,"Adult","Teenager"))</f>
        <v>Adult</v>
      </c>
      <c r="H644" t="s">
        <v>42</v>
      </c>
      <c r="I644" t="s">
        <v>64</v>
      </c>
      <c r="J644" t="s">
        <v>50</v>
      </c>
      <c r="K644" t="s">
        <v>38</v>
      </c>
      <c r="L644" t="s">
        <v>71</v>
      </c>
      <c r="M644">
        <v>8</v>
      </c>
      <c r="N644">
        <v>20814</v>
      </c>
      <c r="O644">
        <v>166512</v>
      </c>
      <c r="P644" t="s">
        <v>27</v>
      </c>
      <c r="Q644">
        <v>8</v>
      </c>
      <c r="R644">
        <v>4</v>
      </c>
      <c r="S644" t="s">
        <v>46</v>
      </c>
    </row>
    <row r="645" spans="1:19" x14ac:dyDescent="0.3">
      <c r="A645">
        <v>642</v>
      </c>
      <c r="B645" t="s">
        <v>1038</v>
      </c>
      <c r="C645" s="6">
        <v>45933</v>
      </c>
      <c r="D645" s="2" t="str">
        <f t="shared" si="20"/>
        <v>October</v>
      </c>
      <c r="E645" t="s">
        <v>1039</v>
      </c>
      <c r="F645">
        <v>20</v>
      </c>
      <c r="G645" t="str">
        <f t="shared" si="21"/>
        <v>Teenager</v>
      </c>
      <c r="H645" t="s">
        <v>42</v>
      </c>
      <c r="I645" t="s">
        <v>102</v>
      </c>
      <c r="J645" t="s">
        <v>24</v>
      </c>
      <c r="K645" t="s">
        <v>25</v>
      </c>
      <c r="L645" t="s">
        <v>124</v>
      </c>
      <c r="M645">
        <v>5</v>
      </c>
      <c r="N645">
        <v>24829</v>
      </c>
      <c r="O645">
        <v>124145</v>
      </c>
      <c r="P645" t="s">
        <v>116</v>
      </c>
      <c r="Q645">
        <v>10</v>
      </c>
      <c r="R645">
        <v>4</v>
      </c>
      <c r="S645" t="s">
        <v>46</v>
      </c>
    </row>
    <row r="646" spans="1:19" x14ac:dyDescent="0.3">
      <c r="A646">
        <v>643</v>
      </c>
      <c r="B646" t="s">
        <v>1040</v>
      </c>
      <c r="C646" s="6">
        <v>45934</v>
      </c>
      <c r="D646" s="2" t="str">
        <f t="shared" si="20"/>
        <v>October</v>
      </c>
      <c r="E646" t="s">
        <v>1041</v>
      </c>
      <c r="F646">
        <v>25</v>
      </c>
      <c r="G646" t="str">
        <f t="shared" si="21"/>
        <v>Teenager</v>
      </c>
      <c r="H646" t="s">
        <v>22</v>
      </c>
      <c r="I646" t="s">
        <v>64</v>
      </c>
      <c r="J646" t="s">
        <v>65</v>
      </c>
      <c r="K646" t="s">
        <v>33</v>
      </c>
      <c r="L646" t="s">
        <v>89</v>
      </c>
      <c r="M646">
        <v>7</v>
      </c>
      <c r="N646">
        <v>4489</v>
      </c>
      <c r="O646">
        <v>31423</v>
      </c>
      <c r="P646" t="s">
        <v>27</v>
      </c>
      <c r="Q646">
        <v>1</v>
      </c>
      <c r="R646">
        <v>4</v>
      </c>
      <c r="S646" t="s">
        <v>46</v>
      </c>
    </row>
    <row r="647" spans="1:19" x14ac:dyDescent="0.3">
      <c r="A647">
        <v>644</v>
      </c>
      <c r="B647" t="s">
        <v>1042</v>
      </c>
      <c r="C647" s="6">
        <v>45935</v>
      </c>
      <c r="D647" s="2" t="str">
        <f t="shared" si="20"/>
        <v>October</v>
      </c>
      <c r="E647" t="s">
        <v>132</v>
      </c>
      <c r="F647">
        <v>31</v>
      </c>
      <c r="G647" t="str">
        <f t="shared" si="21"/>
        <v>Adult</v>
      </c>
      <c r="H647" t="s">
        <v>22</v>
      </c>
      <c r="I647" t="s">
        <v>120</v>
      </c>
      <c r="J647" t="s">
        <v>65</v>
      </c>
      <c r="K647" t="s">
        <v>33</v>
      </c>
      <c r="L647" t="s">
        <v>153</v>
      </c>
      <c r="M647">
        <v>7</v>
      </c>
      <c r="N647">
        <v>18752</v>
      </c>
      <c r="O647">
        <v>131264</v>
      </c>
      <c r="P647" t="s">
        <v>116</v>
      </c>
      <c r="Q647">
        <v>1</v>
      </c>
      <c r="R647">
        <v>3</v>
      </c>
      <c r="S647" t="s">
        <v>28</v>
      </c>
    </row>
    <row r="648" spans="1:19" x14ac:dyDescent="0.3">
      <c r="A648">
        <v>645</v>
      </c>
      <c r="B648" t="s">
        <v>1043</v>
      </c>
      <c r="C648" s="6">
        <v>45936</v>
      </c>
      <c r="D648" s="2" t="str">
        <f t="shared" si="20"/>
        <v>October</v>
      </c>
      <c r="E648" t="s">
        <v>600</v>
      </c>
      <c r="F648">
        <v>60</v>
      </c>
      <c r="G648" t="str">
        <f t="shared" si="21"/>
        <v>Senior</v>
      </c>
      <c r="H648" t="s">
        <v>22</v>
      </c>
      <c r="I648" t="s">
        <v>102</v>
      </c>
      <c r="J648" t="s">
        <v>32</v>
      </c>
      <c r="K648" t="s">
        <v>44</v>
      </c>
      <c r="L648" t="s">
        <v>45</v>
      </c>
      <c r="M648">
        <v>8</v>
      </c>
      <c r="N648">
        <v>16125</v>
      </c>
      <c r="O648">
        <v>129000</v>
      </c>
      <c r="P648" t="s">
        <v>27</v>
      </c>
      <c r="Q648">
        <v>7</v>
      </c>
      <c r="R648">
        <v>2</v>
      </c>
      <c r="S648" t="s">
        <v>46</v>
      </c>
    </row>
    <row r="649" spans="1:19" x14ac:dyDescent="0.3">
      <c r="A649">
        <v>646</v>
      </c>
      <c r="B649" t="s">
        <v>1044</v>
      </c>
      <c r="C649" s="6">
        <v>45937</v>
      </c>
      <c r="D649" s="2" t="str">
        <f t="shared" si="20"/>
        <v>October</v>
      </c>
      <c r="E649" t="s">
        <v>551</v>
      </c>
      <c r="F649">
        <v>48</v>
      </c>
      <c r="G649" t="str">
        <f t="shared" si="21"/>
        <v>Adult</v>
      </c>
      <c r="H649" t="s">
        <v>42</v>
      </c>
      <c r="I649" t="s">
        <v>70</v>
      </c>
      <c r="J649" t="s">
        <v>24</v>
      </c>
      <c r="K649" t="s">
        <v>25</v>
      </c>
      <c r="L649" t="s">
        <v>26</v>
      </c>
      <c r="M649">
        <v>10</v>
      </c>
      <c r="N649">
        <v>20218</v>
      </c>
      <c r="O649">
        <v>202180</v>
      </c>
      <c r="P649" t="s">
        <v>53</v>
      </c>
      <c r="Q649">
        <v>7</v>
      </c>
      <c r="R649">
        <v>4</v>
      </c>
      <c r="S649" t="s">
        <v>28</v>
      </c>
    </row>
    <row r="650" spans="1:19" x14ac:dyDescent="0.3">
      <c r="A650">
        <v>647</v>
      </c>
      <c r="B650" t="s">
        <v>1045</v>
      </c>
      <c r="C650" s="6">
        <v>45938</v>
      </c>
      <c r="D650" s="2" t="str">
        <f t="shared" si="20"/>
        <v>October</v>
      </c>
      <c r="E650" t="s">
        <v>456</v>
      </c>
      <c r="F650">
        <v>49</v>
      </c>
      <c r="G650" t="str">
        <f t="shared" si="21"/>
        <v>Adult</v>
      </c>
      <c r="H650" t="s">
        <v>42</v>
      </c>
      <c r="I650" t="s">
        <v>23</v>
      </c>
      <c r="J650" t="s">
        <v>32</v>
      </c>
      <c r="K650" t="s">
        <v>51</v>
      </c>
      <c r="L650" t="s">
        <v>111</v>
      </c>
      <c r="M650">
        <v>2</v>
      </c>
      <c r="N650">
        <v>1991</v>
      </c>
      <c r="O650">
        <v>3982</v>
      </c>
      <c r="P650" t="s">
        <v>99</v>
      </c>
      <c r="Q650">
        <v>3</v>
      </c>
      <c r="R650">
        <v>5</v>
      </c>
      <c r="S650" t="s">
        <v>46</v>
      </c>
    </row>
    <row r="651" spans="1:19" x14ac:dyDescent="0.3">
      <c r="A651">
        <v>648</v>
      </c>
      <c r="B651" t="s">
        <v>1046</v>
      </c>
      <c r="C651" s="6">
        <v>45939</v>
      </c>
      <c r="D651" s="2" t="str">
        <f t="shared" si="20"/>
        <v>October</v>
      </c>
      <c r="E651" t="s">
        <v>1047</v>
      </c>
      <c r="F651">
        <v>49</v>
      </c>
      <c r="G651" t="str">
        <f t="shared" si="21"/>
        <v>Adult</v>
      </c>
      <c r="H651" t="s">
        <v>42</v>
      </c>
      <c r="I651" t="s">
        <v>64</v>
      </c>
      <c r="J651" t="s">
        <v>24</v>
      </c>
      <c r="K651" t="s">
        <v>33</v>
      </c>
      <c r="L651" t="s">
        <v>89</v>
      </c>
      <c r="M651">
        <v>6</v>
      </c>
      <c r="N651">
        <v>36458</v>
      </c>
      <c r="O651">
        <v>218748</v>
      </c>
      <c r="P651" t="s">
        <v>99</v>
      </c>
      <c r="Q651">
        <v>5</v>
      </c>
      <c r="R651">
        <v>4</v>
      </c>
      <c r="S651" t="s">
        <v>28</v>
      </c>
    </row>
    <row r="652" spans="1:19" x14ac:dyDescent="0.3">
      <c r="A652">
        <v>649</v>
      </c>
      <c r="B652" t="s">
        <v>1048</v>
      </c>
      <c r="C652" s="6">
        <v>45940</v>
      </c>
      <c r="D652" s="2" t="str">
        <f t="shared" si="20"/>
        <v>October</v>
      </c>
      <c r="E652" t="s">
        <v>1041</v>
      </c>
      <c r="F652">
        <v>45</v>
      </c>
      <c r="G652" t="str">
        <f t="shared" si="21"/>
        <v>Adult</v>
      </c>
      <c r="H652" t="s">
        <v>22</v>
      </c>
      <c r="I652" t="s">
        <v>70</v>
      </c>
      <c r="J652" t="s">
        <v>50</v>
      </c>
      <c r="K652" t="s">
        <v>44</v>
      </c>
      <c r="L652" t="s">
        <v>121</v>
      </c>
      <c r="M652">
        <v>5</v>
      </c>
      <c r="N652">
        <v>8000</v>
      </c>
      <c r="O652">
        <v>40000</v>
      </c>
      <c r="P652" t="s">
        <v>53</v>
      </c>
      <c r="Q652">
        <v>6</v>
      </c>
      <c r="R652">
        <v>5</v>
      </c>
      <c r="S652" t="s">
        <v>46</v>
      </c>
    </row>
    <row r="653" spans="1:19" x14ac:dyDescent="0.3">
      <c r="A653">
        <v>650</v>
      </c>
      <c r="B653" t="s">
        <v>1049</v>
      </c>
      <c r="C653" s="6">
        <v>45941</v>
      </c>
      <c r="D653" s="2" t="str">
        <f t="shared" si="20"/>
        <v>October</v>
      </c>
      <c r="E653" t="s">
        <v>206</v>
      </c>
      <c r="F653">
        <v>34</v>
      </c>
      <c r="G653" t="str">
        <f t="shared" si="21"/>
        <v>Adult</v>
      </c>
      <c r="H653" t="s">
        <v>42</v>
      </c>
      <c r="I653" t="s">
        <v>49</v>
      </c>
      <c r="J653" t="s">
        <v>65</v>
      </c>
      <c r="K653" t="s">
        <v>44</v>
      </c>
      <c r="L653" t="s">
        <v>45</v>
      </c>
      <c r="M653">
        <v>5</v>
      </c>
      <c r="N653">
        <v>41220</v>
      </c>
      <c r="O653">
        <v>206100</v>
      </c>
      <c r="P653" t="s">
        <v>27</v>
      </c>
      <c r="Q653">
        <v>2</v>
      </c>
      <c r="R653">
        <v>2</v>
      </c>
      <c r="S653" t="s">
        <v>28</v>
      </c>
    </row>
    <row r="654" spans="1:19" x14ac:dyDescent="0.3">
      <c r="A654">
        <v>651</v>
      </c>
      <c r="B654" t="s">
        <v>1050</v>
      </c>
      <c r="C654" s="6">
        <v>45942</v>
      </c>
      <c r="D654" s="2" t="str">
        <f t="shared" si="20"/>
        <v>October</v>
      </c>
      <c r="E654" t="s">
        <v>1051</v>
      </c>
      <c r="F654">
        <v>32</v>
      </c>
      <c r="G654" t="str">
        <f t="shared" si="21"/>
        <v>Adult</v>
      </c>
      <c r="H654" t="s">
        <v>42</v>
      </c>
      <c r="I654" t="s">
        <v>37</v>
      </c>
      <c r="J654" t="s">
        <v>50</v>
      </c>
      <c r="K654" t="s">
        <v>51</v>
      </c>
      <c r="L654" t="s">
        <v>111</v>
      </c>
      <c r="M654">
        <v>2</v>
      </c>
      <c r="N654">
        <v>561</v>
      </c>
      <c r="O654">
        <v>1122</v>
      </c>
      <c r="P654" t="s">
        <v>116</v>
      </c>
      <c r="Q654">
        <v>5</v>
      </c>
      <c r="R654">
        <v>2</v>
      </c>
      <c r="S654" t="s">
        <v>28</v>
      </c>
    </row>
    <row r="655" spans="1:19" x14ac:dyDescent="0.3">
      <c r="A655">
        <v>652</v>
      </c>
      <c r="B655" t="s">
        <v>1052</v>
      </c>
      <c r="C655" s="6">
        <v>45943</v>
      </c>
      <c r="D655" s="2" t="str">
        <f t="shared" si="20"/>
        <v>October</v>
      </c>
      <c r="E655" t="s">
        <v>157</v>
      </c>
      <c r="F655">
        <v>28</v>
      </c>
      <c r="G655" t="str">
        <f t="shared" si="21"/>
        <v>Teenager</v>
      </c>
      <c r="H655" t="s">
        <v>22</v>
      </c>
      <c r="I655" t="s">
        <v>31</v>
      </c>
      <c r="J655" t="s">
        <v>50</v>
      </c>
      <c r="K655" t="s">
        <v>33</v>
      </c>
      <c r="L655" t="s">
        <v>34</v>
      </c>
      <c r="M655">
        <v>7</v>
      </c>
      <c r="N655">
        <v>41471</v>
      </c>
      <c r="O655">
        <v>290297</v>
      </c>
      <c r="P655" t="s">
        <v>116</v>
      </c>
      <c r="Q655">
        <v>3</v>
      </c>
      <c r="R655">
        <v>4</v>
      </c>
      <c r="S655" t="s">
        <v>28</v>
      </c>
    </row>
    <row r="656" spans="1:19" x14ac:dyDescent="0.3">
      <c r="A656">
        <v>653</v>
      </c>
      <c r="B656" t="s">
        <v>1053</v>
      </c>
      <c r="C656" s="6">
        <v>45944</v>
      </c>
      <c r="D656" s="2" t="str">
        <f t="shared" si="20"/>
        <v>October</v>
      </c>
      <c r="E656" t="s">
        <v>324</v>
      </c>
      <c r="F656">
        <v>23</v>
      </c>
      <c r="G656" t="str">
        <f t="shared" si="21"/>
        <v>Teenager</v>
      </c>
      <c r="H656" t="s">
        <v>22</v>
      </c>
      <c r="I656" t="s">
        <v>31</v>
      </c>
      <c r="J656" t="s">
        <v>65</v>
      </c>
      <c r="K656" t="s">
        <v>51</v>
      </c>
      <c r="L656" t="s">
        <v>86</v>
      </c>
      <c r="M656">
        <v>4</v>
      </c>
      <c r="N656">
        <v>1291</v>
      </c>
      <c r="O656">
        <v>5164</v>
      </c>
      <c r="P656" t="s">
        <v>116</v>
      </c>
      <c r="Q656">
        <v>8</v>
      </c>
      <c r="R656">
        <v>4</v>
      </c>
      <c r="S656" t="s">
        <v>46</v>
      </c>
    </row>
    <row r="657" spans="1:19" x14ac:dyDescent="0.3">
      <c r="A657">
        <v>654</v>
      </c>
      <c r="B657" t="s">
        <v>1054</v>
      </c>
      <c r="C657" s="6">
        <v>45945</v>
      </c>
      <c r="D657" s="2" t="str">
        <f t="shared" si="20"/>
        <v>October</v>
      </c>
      <c r="E657" t="s">
        <v>79</v>
      </c>
      <c r="F657">
        <v>32</v>
      </c>
      <c r="G657" t="str">
        <f t="shared" si="21"/>
        <v>Adult</v>
      </c>
      <c r="H657" t="s">
        <v>22</v>
      </c>
      <c r="I657" t="s">
        <v>102</v>
      </c>
      <c r="J657" t="s">
        <v>32</v>
      </c>
      <c r="K657" t="s">
        <v>44</v>
      </c>
      <c r="L657" t="s">
        <v>121</v>
      </c>
      <c r="M657">
        <v>10</v>
      </c>
      <c r="N657">
        <v>41181</v>
      </c>
      <c r="O657">
        <v>411810</v>
      </c>
      <c r="P657" t="s">
        <v>116</v>
      </c>
      <c r="Q657">
        <v>9</v>
      </c>
      <c r="R657">
        <v>5</v>
      </c>
      <c r="S657" t="s">
        <v>28</v>
      </c>
    </row>
    <row r="658" spans="1:19" x14ac:dyDescent="0.3">
      <c r="A658">
        <v>655</v>
      </c>
      <c r="B658" t="s">
        <v>1055</v>
      </c>
      <c r="C658" s="6">
        <v>45946</v>
      </c>
      <c r="D658" s="2" t="str">
        <f t="shared" si="20"/>
        <v>October</v>
      </c>
      <c r="E658" t="s">
        <v>624</v>
      </c>
      <c r="F658">
        <v>32</v>
      </c>
      <c r="G658" t="str">
        <f t="shared" si="21"/>
        <v>Adult</v>
      </c>
      <c r="H658" t="s">
        <v>42</v>
      </c>
      <c r="I658" t="s">
        <v>70</v>
      </c>
      <c r="J658" t="s">
        <v>24</v>
      </c>
      <c r="K658" t="s">
        <v>44</v>
      </c>
      <c r="L658" t="s">
        <v>91</v>
      </c>
      <c r="M658">
        <v>5</v>
      </c>
      <c r="N658">
        <v>36435</v>
      </c>
      <c r="O658">
        <v>182175</v>
      </c>
      <c r="P658" t="s">
        <v>116</v>
      </c>
      <c r="Q658">
        <v>6</v>
      </c>
      <c r="R658">
        <v>2</v>
      </c>
      <c r="S658" t="s">
        <v>46</v>
      </c>
    </row>
    <row r="659" spans="1:19" x14ac:dyDescent="0.3">
      <c r="A659">
        <v>656</v>
      </c>
      <c r="B659" t="s">
        <v>1056</v>
      </c>
      <c r="C659" s="6">
        <v>45947</v>
      </c>
      <c r="D659" s="2" t="str">
        <f t="shared" si="20"/>
        <v>October</v>
      </c>
      <c r="E659" t="s">
        <v>159</v>
      </c>
      <c r="F659">
        <v>25</v>
      </c>
      <c r="G659" t="str">
        <f t="shared" si="21"/>
        <v>Teenager</v>
      </c>
      <c r="H659" t="s">
        <v>22</v>
      </c>
      <c r="I659" t="s">
        <v>31</v>
      </c>
      <c r="J659" t="s">
        <v>24</v>
      </c>
      <c r="K659" t="s">
        <v>25</v>
      </c>
      <c r="L659" t="s">
        <v>77</v>
      </c>
      <c r="M659">
        <v>4</v>
      </c>
      <c r="N659">
        <v>43412</v>
      </c>
      <c r="O659">
        <v>173648</v>
      </c>
      <c r="P659" t="s">
        <v>116</v>
      </c>
      <c r="Q659">
        <v>6</v>
      </c>
      <c r="R659">
        <v>4</v>
      </c>
      <c r="S659" t="s">
        <v>46</v>
      </c>
    </row>
    <row r="660" spans="1:19" x14ac:dyDescent="0.3">
      <c r="A660">
        <v>657</v>
      </c>
      <c r="B660" t="s">
        <v>1057</v>
      </c>
      <c r="C660" s="6">
        <v>45948</v>
      </c>
      <c r="D660" s="2" t="str">
        <f t="shared" si="20"/>
        <v>October</v>
      </c>
      <c r="E660" t="s">
        <v>162</v>
      </c>
      <c r="F660">
        <v>28</v>
      </c>
      <c r="G660" t="str">
        <f t="shared" si="21"/>
        <v>Teenager</v>
      </c>
      <c r="H660" t="s">
        <v>22</v>
      </c>
      <c r="I660" t="s">
        <v>70</v>
      </c>
      <c r="J660" t="s">
        <v>65</v>
      </c>
      <c r="K660" t="s">
        <v>38</v>
      </c>
      <c r="L660" t="s">
        <v>39</v>
      </c>
      <c r="M660">
        <v>6</v>
      </c>
      <c r="N660">
        <v>28336</v>
      </c>
      <c r="O660">
        <v>170016</v>
      </c>
      <c r="P660" t="s">
        <v>53</v>
      </c>
      <c r="Q660">
        <v>9</v>
      </c>
      <c r="R660">
        <v>1</v>
      </c>
      <c r="S660" t="s">
        <v>28</v>
      </c>
    </row>
    <row r="661" spans="1:19" x14ac:dyDescent="0.3">
      <c r="A661">
        <v>658</v>
      </c>
      <c r="B661" t="s">
        <v>1058</v>
      </c>
      <c r="C661" s="6">
        <v>45949</v>
      </c>
      <c r="D661" s="2" t="str">
        <f t="shared" si="20"/>
        <v>October</v>
      </c>
      <c r="E661" t="s">
        <v>1059</v>
      </c>
      <c r="F661">
        <v>38</v>
      </c>
      <c r="G661" t="str">
        <f t="shared" si="21"/>
        <v>Adult</v>
      </c>
      <c r="H661" t="s">
        <v>42</v>
      </c>
      <c r="I661" t="s">
        <v>102</v>
      </c>
      <c r="J661" t="s">
        <v>65</v>
      </c>
      <c r="K661" t="s">
        <v>51</v>
      </c>
      <c r="L661" t="s">
        <v>74</v>
      </c>
      <c r="M661">
        <v>3</v>
      </c>
      <c r="N661">
        <v>624</v>
      </c>
      <c r="O661">
        <v>1872</v>
      </c>
      <c r="P661" t="s">
        <v>99</v>
      </c>
      <c r="Q661">
        <v>6</v>
      </c>
      <c r="R661">
        <v>4</v>
      </c>
      <c r="S661" t="s">
        <v>46</v>
      </c>
    </row>
    <row r="662" spans="1:19" x14ac:dyDescent="0.3">
      <c r="A662">
        <v>659</v>
      </c>
      <c r="B662" t="s">
        <v>1060</v>
      </c>
      <c r="C662" s="6">
        <v>45950</v>
      </c>
      <c r="D662" s="2" t="str">
        <f t="shared" si="20"/>
        <v>October</v>
      </c>
      <c r="E662" t="s">
        <v>856</v>
      </c>
      <c r="F662">
        <v>33</v>
      </c>
      <c r="G662" t="str">
        <f t="shared" si="21"/>
        <v>Adult</v>
      </c>
      <c r="H662" t="s">
        <v>22</v>
      </c>
      <c r="I662" t="s">
        <v>37</v>
      </c>
      <c r="J662" t="s">
        <v>65</v>
      </c>
      <c r="K662" t="s">
        <v>44</v>
      </c>
      <c r="L662" t="s">
        <v>178</v>
      </c>
      <c r="M662">
        <v>6</v>
      </c>
      <c r="N662">
        <v>35263</v>
      </c>
      <c r="O662">
        <v>211578</v>
      </c>
      <c r="P662" t="s">
        <v>99</v>
      </c>
      <c r="Q662">
        <v>8</v>
      </c>
      <c r="R662">
        <v>4</v>
      </c>
      <c r="S662" t="s">
        <v>28</v>
      </c>
    </row>
    <row r="663" spans="1:19" x14ac:dyDescent="0.3">
      <c r="A663">
        <v>660</v>
      </c>
      <c r="B663" t="s">
        <v>1061</v>
      </c>
      <c r="C663" s="6">
        <v>45951</v>
      </c>
      <c r="D663" s="2" t="str">
        <f t="shared" si="20"/>
        <v>October</v>
      </c>
      <c r="E663" t="s">
        <v>1062</v>
      </c>
      <c r="F663">
        <v>27</v>
      </c>
      <c r="G663" t="str">
        <f t="shared" si="21"/>
        <v>Teenager</v>
      </c>
      <c r="H663" t="s">
        <v>22</v>
      </c>
      <c r="I663" t="s">
        <v>43</v>
      </c>
      <c r="J663" t="s">
        <v>24</v>
      </c>
      <c r="K663" t="s">
        <v>25</v>
      </c>
      <c r="L663" t="s">
        <v>124</v>
      </c>
      <c r="M663">
        <v>6</v>
      </c>
      <c r="N663">
        <v>13247</v>
      </c>
      <c r="O663">
        <v>79482</v>
      </c>
      <c r="P663" t="s">
        <v>53</v>
      </c>
      <c r="Q663">
        <v>4</v>
      </c>
      <c r="R663">
        <v>5</v>
      </c>
      <c r="S663" t="s">
        <v>28</v>
      </c>
    </row>
    <row r="664" spans="1:19" x14ac:dyDescent="0.3">
      <c r="A664">
        <v>661</v>
      </c>
      <c r="B664" t="s">
        <v>1063</v>
      </c>
      <c r="C664" s="6">
        <v>45952</v>
      </c>
      <c r="D664" s="2" t="str">
        <f t="shared" si="20"/>
        <v>October</v>
      </c>
      <c r="E664" t="s">
        <v>1064</v>
      </c>
      <c r="F664">
        <v>47</v>
      </c>
      <c r="G664" t="str">
        <f t="shared" si="21"/>
        <v>Adult</v>
      </c>
      <c r="H664" t="s">
        <v>42</v>
      </c>
      <c r="I664" t="s">
        <v>102</v>
      </c>
      <c r="J664" t="s">
        <v>32</v>
      </c>
      <c r="K664" t="s">
        <v>51</v>
      </c>
      <c r="L664" t="s">
        <v>52</v>
      </c>
      <c r="M664">
        <v>7</v>
      </c>
      <c r="N664">
        <v>702</v>
      </c>
      <c r="O664">
        <v>4914</v>
      </c>
      <c r="P664" t="s">
        <v>99</v>
      </c>
      <c r="Q664">
        <v>4</v>
      </c>
      <c r="R664">
        <v>4</v>
      </c>
      <c r="S664" t="s">
        <v>28</v>
      </c>
    </row>
    <row r="665" spans="1:19" x14ac:dyDescent="0.3">
      <c r="A665">
        <v>662</v>
      </c>
      <c r="B665" t="s">
        <v>1065</v>
      </c>
      <c r="C665" s="6">
        <v>45953</v>
      </c>
      <c r="D665" s="2" t="str">
        <f t="shared" si="20"/>
        <v>October</v>
      </c>
      <c r="E665" t="s">
        <v>76</v>
      </c>
      <c r="F665">
        <v>54</v>
      </c>
      <c r="G665" t="str">
        <f t="shared" si="21"/>
        <v>Senior</v>
      </c>
      <c r="H665" t="s">
        <v>42</v>
      </c>
      <c r="I665" t="s">
        <v>31</v>
      </c>
      <c r="J665" t="s">
        <v>24</v>
      </c>
      <c r="K665" t="s">
        <v>38</v>
      </c>
      <c r="L665" t="s">
        <v>81</v>
      </c>
      <c r="M665">
        <v>2</v>
      </c>
      <c r="N665">
        <v>33666</v>
      </c>
      <c r="O665">
        <v>67332</v>
      </c>
      <c r="P665" t="s">
        <v>27</v>
      </c>
      <c r="Q665">
        <v>7</v>
      </c>
      <c r="R665">
        <v>1</v>
      </c>
      <c r="S665" t="s">
        <v>28</v>
      </c>
    </row>
    <row r="666" spans="1:19" x14ac:dyDescent="0.3">
      <c r="A666">
        <v>663</v>
      </c>
      <c r="B666" t="s">
        <v>1066</v>
      </c>
      <c r="C666" s="6">
        <v>45954</v>
      </c>
      <c r="D666" s="2" t="str">
        <f t="shared" si="20"/>
        <v>October</v>
      </c>
      <c r="E666" t="s">
        <v>1067</v>
      </c>
      <c r="F666">
        <v>21</v>
      </c>
      <c r="G666" t="str">
        <f t="shared" si="21"/>
        <v>Teenager</v>
      </c>
      <c r="H666" t="s">
        <v>22</v>
      </c>
      <c r="I666" t="s">
        <v>23</v>
      </c>
      <c r="J666" t="s">
        <v>50</v>
      </c>
      <c r="K666" t="s">
        <v>51</v>
      </c>
      <c r="L666" t="s">
        <v>86</v>
      </c>
      <c r="M666">
        <v>3</v>
      </c>
      <c r="N666">
        <v>124</v>
      </c>
      <c r="O666">
        <v>372</v>
      </c>
      <c r="P666" t="s">
        <v>53</v>
      </c>
      <c r="Q666">
        <v>10</v>
      </c>
      <c r="R666">
        <v>5</v>
      </c>
      <c r="S666" t="s">
        <v>28</v>
      </c>
    </row>
    <row r="667" spans="1:19" x14ac:dyDescent="0.3">
      <c r="A667">
        <v>664</v>
      </c>
      <c r="B667" t="s">
        <v>1068</v>
      </c>
      <c r="C667" s="6">
        <v>45955</v>
      </c>
      <c r="D667" s="2" t="str">
        <f t="shared" si="20"/>
        <v>October</v>
      </c>
      <c r="E667" t="s">
        <v>1069</v>
      </c>
      <c r="F667">
        <v>22</v>
      </c>
      <c r="G667" t="str">
        <f t="shared" si="21"/>
        <v>Teenager</v>
      </c>
      <c r="H667" t="s">
        <v>22</v>
      </c>
      <c r="I667" t="s">
        <v>23</v>
      </c>
      <c r="J667" t="s">
        <v>24</v>
      </c>
      <c r="K667" t="s">
        <v>44</v>
      </c>
      <c r="L667" t="s">
        <v>45</v>
      </c>
      <c r="M667">
        <v>1</v>
      </c>
      <c r="N667">
        <v>28938</v>
      </c>
      <c r="O667">
        <v>28938</v>
      </c>
      <c r="P667" t="s">
        <v>27</v>
      </c>
      <c r="Q667">
        <v>1</v>
      </c>
      <c r="R667">
        <v>3</v>
      </c>
      <c r="S667" t="s">
        <v>28</v>
      </c>
    </row>
    <row r="668" spans="1:19" x14ac:dyDescent="0.3">
      <c r="A668">
        <v>665</v>
      </c>
      <c r="B668" t="s">
        <v>1070</v>
      </c>
      <c r="C668" s="6">
        <v>45956</v>
      </c>
      <c r="D668" s="2" t="str">
        <f t="shared" si="20"/>
        <v>October</v>
      </c>
      <c r="E668" t="s">
        <v>371</v>
      </c>
      <c r="F668">
        <v>51</v>
      </c>
      <c r="G668" t="str">
        <f t="shared" si="21"/>
        <v>Senior</v>
      </c>
      <c r="H668" t="s">
        <v>42</v>
      </c>
      <c r="I668" t="s">
        <v>43</v>
      </c>
      <c r="J668" t="s">
        <v>50</v>
      </c>
      <c r="K668" t="s">
        <v>38</v>
      </c>
      <c r="L668" t="s">
        <v>71</v>
      </c>
      <c r="M668">
        <v>6</v>
      </c>
      <c r="N668">
        <v>16823</v>
      </c>
      <c r="O668">
        <v>100938</v>
      </c>
      <c r="P668" t="s">
        <v>99</v>
      </c>
      <c r="Q668">
        <v>6</v>
      </c>
      <c r="R668">
        <v>1</v>
      </c>
      <c r="S668" t="s">
        <v>28</v>
      </c>
    </row>
    <row r="669" spans="1:19" x14ac:dyDescent="0.3">
      <c r="A669">
        <v>666</v>
      </c>
      <c r="B669" t="s">
        <v>1071</v>
      </c>
      <c r="C669" s="6">
        <v>45957</v>
      </c>
      <c r="D669" s="2" t="str">
        <f t="shared" si="20"/>
        <v>October</v>
      </c>
      <c r="E669" t="s">
        <v>322</v>
      </c>
      <c r="F669">
        <v>38</v>
      </c>
      <c r="G669" t="str">
        <f t="shared" si="21"/>
        <v>Adult</v>
      </c>
      <c r="H669" t="s">
        <v>42</v>
      </c>
      <c r="I669" t="s">
        <v>43</v>
      </c>
      <c r="J669" t="s">
        <v>50</v>
      </c>
      <c r="K669" t="s">
        <v>51</v>
      </c>
      <c r="L669" t="s">
        <v>111</v>
      </c>
      <c r="M669">
        <v>3</v>
      </c>
      <c r="N669">
        <v>1612</v>
      </c>
      <c r="O669">
        <v>4836</v>
      </c>
      <c r="P669" t="s">
        <v>27</v>
      </c>
      <c r="Q669">
        <v>2</v>
      </c>
      <c r="R669">
        <v>1</v>
      </c>
      <c r="S669" t="s">
        <v>46</v>
      </c>
    </row>
    <row r="670" spans="1:19" x14ac:dyDescent="0.3">
      <c r="A670">
        <v>667</v>
      </c>
      <c r="B670" t="s">
        <v>1072</v>
      </c>
      <c r="C670" s="6">
        <v>45958</v>
      </c>
      <c r="D670" s="2" t="str">
        <f t="shared" si="20"/>
        <v>October</v>
      </c>
      <c r="E670" t="s">
        <v>123</v>
      </c>
      <c r="F670">
        <v>52</v>
      </c>
      <c r="G670" t="str">
        <f t="shared" si="21"/>
        <v>Senior</v>
      </c>
      <c r="H670" t="s">
        <v>22</v>
      </c>
      <c r="I670" t="s">
        <v>43</v>
      </c>
      <c r="J670" t="s">
        <v>65</v>
      </c>
      <c r="K670" t="s">
        <v>51</v>
      </c>
      <c r="L670" t="s">
        <v>86</v>
      </c>
      <c r="M670">
        <v>5</v>
      </c>
      <c r="N670">
        <v>1693</v>
      </c>
      <c r="O670">
        <v>8465</v>
      </c>
      <c r="P670" t="s">
        <v>99</v>
      </c>
      <c r="Q670">
        <v>5</v>
      </c>
      <c r="R670">
        <v>5</v>
      </c>
      <c r="S670" t="s">
        <v>28</v>
      </c>
    </row>
    <row r="671" spans="1:19" x14ac:dyDescent="0.3">
      <c r="A671">
        <v>668</v>
      </c>
      <c r="B671" t="s">
        <v>1073</v>
      </c>
      <c r="C671" s="6">
        <v>45959</v>
      </c>
      <c r="D671" s="2" t="str">
        <f t="shared" si="20"/>
        <v>October</v>
      </c>
      <c r="E671" t="s">
        <v>1074</v>
      </c>
      <c r="F671">
        <v>44</v>
      </c>
      <c r="G671" t="str">
        <f t="shared" si="21"/>
        <v>Adult</v>
      </c>
      <c r="H671" t="s">
        <v>42</v>
      </c>
      <c r="I671" t="s">
        <v>64</v>
      </c>
      <c r="J671" t="s">
        <v>50</v>
      </c>
      <c r="K671" t="s">
        <v>33</v>
      </c>
      <c r="L671" t="s">
        <v>34</v>
      </c>
      <c r="M671">
        <v>5</v>
      </c>
      <c r="N671">
        <v>2655</v>
      </c>
      <c r="O671">
        <v>13275</v>
      </c>
      <c r="P671" t="s">
        <v>99</v>
      </c>
      <c r="Q671">
        <v>5</v>
      </c>
      <c r="R671">
        <v>5</v>
      </c>
      <c r="S671" t="s">
        <v>46</v>
      </c>
    </row>
    <row r="672" spans="1:19" x14ac:dyDescent="0.3">
      <c r="A672">
        <v>669</v>
      </c>
      <c r="B672" t="s">
        <v>1075</v>
      </c>
      <c r="C672" s="6">
        <v>45960</v>
      </c>
      <c r="D672" s="2" t="str">
        <f t="shared" si="20"/>
        <v>October</v>
      </c>
      <c r="E672" t="s">
        <v>921</v>
      </c>
      <c r="F672">
        <v>46</v>
      </c>
      <c r="G672" t="str">
        <f t="shared" si="21"/>
        <v>Adult</v>
      </c>
      <c r="H672" t="s">
        <v>22</v>
      </c>
      <c r="I672" t="s">
        <v>80</v>
      </c>
      <c r="J672" t="s">
        <v>65</v>
      </c>
      <c r="K672" t="s">
        <v>38</v>
      </c>
      <c r="L672" t="s">
        <v>39</v>
      </c>
      <c r="M672">
        <v>3</v>
      </c>
      <c r="N672">
        <v>45161</v>
      </c>
      <c r="O672">
        <v>135483</v>
      </c>
      <c r="P672" t="s">
        <v>53</v>
      </c>
      <c r="Q672">
        <v>10</v>
      </c>
      <c r="R672">
        <v>1</v>
      </c>
      <c r="S672" t="s">
        <v>46</v>
      </c>
    </row>
    <row r="673" spans="1:19" x14ac:dyDescent="0.3">
      <c r="A673">
        <v>670</v>
      </c>
      <c r="B673" t="s">
        <v>1076</v>
      </c>
      <c r="C673" s="6">
        <v>45961</v>
      </c>
      <c r="D673" s="2" t="str">
        <f t="shared" si="20"/>
        <v>October</v>
      </c>
      <c r="E673" t="s">
        <v>798</v>
      </c>
      <c r="F673">
        <v>37</v>
      </c>
      <c r="G673" t="str">
        <f t="shared" si="21"/>
        <v>Adult</v>
      </c>
      <c r="H673" t="s">
        <v>42</v>
      </c>
      <c r="I673" t="s">
        <v>49</v>
      </c>
      <c r="J673" t="s">
        <v>32</v>
      </c>
      <c r="K673" t="s">
        <v>33</v>
      </c>
      <c r="L673" t="s">
        <v>89</v>
      </c>
      <c r="M673">
        <v>3</v>
      </c>
      <c r="N673">
        <v>10748</v>
      </c>
      <c r="O673">
        <v>32244</v>
      </c>
      <c r="P673" t="s">
        <v>116</v>
      </c>
      <c r="Q673">
        <v>4</v>
      </c>
      <c r="R673">
        <v>5</v>
      </c>
      <c r="S673" t="s">
        <v>28</v>
      </c>
    </row>
    <row r="674" spans="1:19" x14ac:dyDescent="0.3">
      <c r="A674">
        <v>671</v>
      </c>
      <c r="B674" t="s">
        <v>1077</v>
      </c>
      <c r="C674" s="6">
        <v>45962</v>
      </c>
      <c r="D674" s="2" t="str">
        <f t="shared" si="20"/>
        <v>November</v>
      </c>
      <c r="E674" t="s">
        <v>333</v>
      </c>
      <c r="F674">
        <v>21</v>
      </c>
      <c r="G674" t="str">
        <f t="shared" si="21"/>
        <v>Teenager</v>
      </c>
      <c r="H674" t="s">
        <v>22</v>
      </c>
      <c r="I674" t="s">
        <v>31</v>
      </c>
      <c r="J674" t="s">
        <v>50</v>
      </c>
      <c r="K674" t="s">
        <v>51</v>
      </c>
      <c r="L674" t="s">
        <v>86</v>
      </c>
      <c r="M674">
        <v>4</v>
      </c>
      <c r="N674">
        <v>1762</v>
      </c>
      <c r="O674">
        <v>7048</v>
      </c>
      <c r="P674" t="s">
        <v>61</v>
      </c>
      <c r="Q674">
        <v>5</v>
      </c>
      <c r="R674">
        <v>2</v>
      </c>
      <c r="S674" t="s">
        <v>28</v>
      </c>
    </row>
    <row r="675" spans="1:19" x14ac:dyDescent="0.3">
      <c r="A675">
        <v>672</v>
      </c>
      <c r="B675" t="s">
        <v>1078</v>
      </c>
      <c r="C675" s="6">
        <v>45963</v>
      </c>
      <c r="D675" s="2" t="str">
        <f t="shared" si="20"/>
        <v>November</v>
      </c>
      <c r="E675" t="s">
        <v>231</v>
      </c>
      <c r="F675">
        <v>56</v>
      </c>
      <c r="G675" t="str">
        <f t="shared" si="21"/>
        <v>Senior</v>
      </c>
      <c r="H675" t="s">
        <v>42</v>
      </c>
      <c r="I675" t="s">
        <v>49</v>
      </c>
      <c r="J675" t="s">
        <v>32</v>
      </c>
      <c r="K675" t="s">
        <v>33</v>
      </c>
      <c r="L675" t="s">
        <v>160</v>
      </c>
      <c r="M675">
        <v>10</v>
      </c>
      <c r="N675">
        <v>3686</v>
      </c>
      <c r="O675">
        <v>36860</v>
      </c>
      <c r="P675" t="s">
        <v>27</v>
      </c>
      <c r="Q675">
        <v>10</v>
      </c>
      <c r="R675">
        <v>4</v>
      </c>
      <c r="S675" t="s">
        <v>28</v>
      </c>
    </row>
    <row r="676" spans="1:19" x14ac:dyDescent="0.3">
      <c r="A676">
        <v>673</v>
      </c>
      <c r="B676" t="s">
        <v>1079</v>
      </c>
      <c r="C676" s="6">
        <v>45964</v>
      </c>
      <c r="D676" s="2" t="str">
        <f t="shared" si="20"/>
        <v>November</v>
      </c>
      <c r="E676" t="s">
        <v>1080</v>
      </c>
      <c r="F676">
        <v>26</v>
      </c>
      <c r="G676" t="str">
        <f t="shared" si="21"/>
        <v>Teenager</v>
      </c>
      <c r="H676" t="s">
        <v>22</v>
      </c>
      <c r="I676" t="s">
        <v>102</v>
      </c>
      <c r="J676" t="s">
        <v>65</v>
      </c>
      <c r="K676" t="s">
        <v>44</v>
      </c>
      <c r="L676" t="s">
        <v>45</v>
      </c>
      <c r="M676">
        <v>6</v>
      </c>
      <c r="N676">
        <v>15725</v>
      </c>
      <c r="O676">
        <v>94350</v>
      </c>
      <c r="P676" t="s">
        <v>53</v>
      </c>
      <c r="Q676">
        <v>3</v>
      </c>
      <c r="R676">
        <v>5</v>
      </c>
      <c r="S676" t="s">
        <v>46</v>
      </c>
    </row>
    <row r="677" spans="1:19" x14ac:dyDescent="0.3">
      <c r="A677">
        <v>674</v>
      </c>
      <c r="B677" t="s">
        <v>1081</v>
      </c>
      <c r="C677" s="6">
        <v>45965</v>
      </c>
      <c r="D677" s="2" t="str">
        <f t="shared" si="20"/>
        <v>November</v>
      </c>
      <c r="E677" t="s">
        <v>717</v>
      </c>
      <c r="F677">
        <v>18</v>
      </c>
      <c r="G677" t="str">
        <f t="shared" si="21"/>
        <v>Teenager</v>
      </c>
      <c r="H677" t="s">
        <v>22</v>
      </c>
      <c r="I677" t="s">
        <v>64</v>
      </c>
      <c r="J677" t="s">
        <v>65</v>
      </c>
      <c r="K677" t="s">
        <v>25</v>
      </c>
      <c r="L677" t="s">
        <v>26</v>
      </c>
      <c r="M677">
        <v>10</v>
      </c>
      <c r="N677">
        <v>28151</v>
      </c>
      <c r="O677">
        <v>281510</v>
      </c>
      <c r="P677" t="s">
        <v>27</v>
      </c>
      <c r="Q677">
        <v>9</v>
      </c>
      <c r="R677">
        <v>2</v>
      </c>
      <c r="S677" t="s">
        <v>28</v>
      </c>
    </row>
    <row r="678" spans="1:19" x14ac:dyDescent="0.3">
      <c r="A678">
        <v>675</v>
      </c>
      <c r="B678" t="s">
        <v>1082</v>
      </c>
      <c r="C678" s="6">
        <v>45966</v>
      </c>
      <c r="D678" s="2" t="str">
        <f t="shared" si="20"/>
        <v>November</v>
      </c>
      <c r="E678" t="s">
        <v>1083</v>
      </c>
      <c r="F678">
        <v>30</v>
      </c>
      <c r="G678" t="str">
        <f t="shared" si="21"/>
        <v>Adult</v>
      </c>
      <c r="H678" t="s">
        <v>22</v>
      </c>
      <c r="I678" t="s">
        <v>64</v>
      </c>
      <c r="J678" t="s">
        <v>50</v>
      </c>
      <c r="K678" t="s">
        <v>51</v>
      </c>
      <c r="L678" t="s">
        <v>52</v>
      </c>
      <c r="M678">
        <v>9</v>
      </c>
      <c r="N678">
        <v>912</v>
      </c>
      <c r="O678">
        <v>8208</v>
      </c>
      <c r="P678" t="s">
        <v>27</v>
      </c>
      <c r="Q678">
        <v>8</v>
      </c>
      <c r="R678">
        <v>3</v>
      </c>
      <c r="S678" t="s">
        <v>46</v>
      </c>
    </row>
    <row r="679" spans="1:19" x14ac:dyDescent="0.3">
      <c r="A679">
        <v>676</v>
      </c>
      <c r="B679" t="s">
        <v>1084</v>
      </c>
      <c r="C679" s="6">
        <v>45967</v>
      </c>
      <c r="D679" s="2" t="str">
        <f t="shared" si="20"/>
        <v>November</v>
      </c>
      <c r="E679" t="s">
        <v>945</v>
      </c>
      <c r="F679">
        <v>29</v>
      </c>
      <c r="G679" t="str">
        <f t="shared" si="21"/>
        <v>Teenager</v>
      </c>
      <c r="H679" t="s">
        <v>22</v>
      </c>
      <c r="I679" t="s">
        <v>64</v>
      </c>
      <c r="J679" t="s">
        <v>32</v>
      </c>
      <c r="K679" t="s">
        <v>44</v>
      </c>
      <c r="L679" t="s">
        <v>121</v>
      </c>
      <c r="M679">
        <v>7</v>
      </c>
      <c r="N679">
        <v>5242</v>
      </c>
      <c r="O679">
        <v>36694</v>
      </c>
      <c r="P679" t="s">
        <v>53</v>
      </c>
      <c r="Q679">
        <v>3</v>
      </c>
      <c r="R679">
        <v>5</v>
      </c>
      <c r="S679" t="s">
        <v>46</v>
      </c>
    </row>
    <row r="680" spans="1:19" x14ac:dyDescent="0.3">
      <c r="A680">
        <v>677</v>
      </c>
      <c r="B680" t="s">
        <v>1085</v>
      </c>
      <c r="C680" s="6">
        <v>45968</v>
      </c>
      <c r="D680" s="2" t="str">
        <f t="shared" si="20"/>
        <v>November</v>
      </c>
      <c r="E680" t="s">
        <v>166</v>
      </c>
      <c r="F680">
        <v>52</v>
      </c>
      <c r="G680" t="str">
        <f t="shared" si="21"/>
        <v>Senior</v>
      </c>
      <c r="H680" t="s">
        <v>42</v>
      </c>
      <c r="I680" t="s">
        <v>37</v>
      </c>
      <c r="J680" t="s">
        <v>32</v>
      </c>
      <c r="K680" t="s">
        <v>51</v>
      </c>
      <c r="L680" t="s">
        <v>60</v>
      </c>
      <c r="M680">
        <v>10</v>
      </c>
      <c r="N680">
        <v>140</v>
      </c>
      <c r="O680">
        <v>1400</v>
      </c>
      <c r="P680" t="s">
        <v>61</v>
      </c>
      <c r="Q680">
        <v>7</v>
      </c>
      <c r="R680">
        <v>3</v>
      </c>
      <c r="S680" t="s">
        <v>28</v>
      </c>
    </row>
    <row r="681" spans="1:19" x14ac:dyDescent="0.3">
      <c r="A681">
        <v>678</v>
      </c>
      <c r="B681" t="s">
        <v>1086</v>
      </c>
      <c r="C681" s="6">
        <v>45969</v>
      </c>
      <c r="D681" s="2" t="str">
        <f t="shared" si="20"/>
        <v>November</v>
      </c>
      <c r="E681" t="s">
        <v>141</v>
      </c>
      <c r="F681">
        <v>40</v>
      </c>
      <c r="G681" t="str">
        <f t="shared" si="21"/>
        <v>Adult</v>
      </c>
      <c r="H681" t="s">
        <v>42</v>
      </c>
      <c r="I681" t="s">
        <v>80</v>
      </c>
      <c r="J681" t="s">
        <v>65</v>
      </c>
      <c r="K681" t="s">
        <v>51</v>
      </c>
      <c r="L681" t="s">
        <v>111</v>
      </c>
      <c r="M681">
        <v>5</v>
      </c>
      <c r="N681">
        <v>1829</v>
      </c>
      <c r="O681">
        <v>9145</v>
      </c>
      <c r="P681" t="s">
        <v>116</v>
      </c>
      <c r="Q681">
        <v>9</v>
      </c>
      <c r="R681">
        <v>3</v>
      </c>
      <c r="S681" t="s">
        <v>28</v>
      </c>
    </row>
    <row r="682" spans="1:19" x14ac:dyDescent="0.3">
      <c r="A682">
        <v>679</v>
      </c>
      <c r="B682" t="s">
        <v>1087</v>
      </c>
      <c r="C682" s="6">
        <v>45970</v>
      </c>
      <c r="D682" s="2" t="str">
        <f t="shared" si="20"/>
        <v>November</v>
      </c>
      <c r="E682" t="s">
        <v>1088</v>
      </c>
      <c r="F682">
        <v>48</v>
      </c>
      <c r="G682" t="str">
        <f t="shared" si="21"/>
        <v>Adult</v>
      </c>
      <c r="H682" t="s">
        <v>22</v>
      </c>
      <c r="I682" t="s">
        <v>23</v>
      </c>
      <c r="J682" t="s">
        <v>32</v>
      </c>
      <c r="K682" t="s">
        <v>51</v>
      </c>
      <c r="L682" t="s">
        <v>111</v>
      </c>
      <c r="M682">
        <v>8</v>
      </c>
      <c r="N682">
        <v>1333</v>
      </c>
      <c r="O682">
        <v>10664</v>
      </c>
      <c r="P682" t="s">
        <v>116</v>
      </c>
      <c r="Q682">
        <v>5</v>
      </c>
      <c r="R682">
        <v>4</v>
      </c>
      <c r="S682" t="s">
        <v>46</v>
      </c>
    </row>
    <row r="683" spans="1:19" x14ac:dyDescent="0.3">
      <c r="A683">
        <v>680</v>
      </c>
      <c r="B683" t="s">
        <v>1089</v>
      </c>
      <c r="C683" s="6">
        <v>45971</v>
      </c>
      <c r="D683" s="2" t="str">
        <f t="shared" si="20"/>
        <v>November</v>
      </c>
      <c r="E683" t="s">
        <v>934</v>
      </c>
      <c r="F683">
        <v>33</v>
      </c>
      <c r="G683" t="str">
        <f t="shared" si="21"/>
        <v>Adult</v>
      </c>
      <c r="H683" t="s">
        <v>42</v>
      </c>
      <c r="I683" t="s">
        <v>80</v>
      </c>
      <c r="J683" t="s">
        <v>50</v>
      </c>
      <c r="K683" t="s">
        <v>44</v>
      </c>
      <c r="L683" t="s">
        <v>91</v>
      </c>
      <c r="M683">
        <v>2</v>
      </c>
      <c r="N683">
        <v>32866</v>
      </c>
      <c r="O683">
        <v>65732</v>
      </c>
      <c r="P683" t="s">
        <v>27</v>
      </c>
      <c r="Q683">
        <v>6</v>
      </c>
      <c r="R683">
        <v>1</v>
      </c>
      <c r="S683" t="s">
        <v>28</v>
      </c>
    </row>
    <row r="684" spans="1:19" x14ac:dyDescent="0.3">
      <c r="A684">
        <v>681</v>
      </c>
      <c r="B684" t="s">
        <v>1090</v>
      </c>
      <c r="C684" s="6">
        <v>45972</v>
      </c>
      <c r="D684" s="2" t="str">
        <f t="shared" si="20"/>
        <v>November</v>
      </c>
      <c r="E684" t="s">
        <v>402</v>
      </c>
      <c r="F684">
        <v>48</v>
      </c>
      <c r="G684" t="str">
        <f t="shared" si="21"/>
        <v>Adult</v>
      </c>
      <c r="H684" t="s">
        <v>42</v>
      </c>
      <c r="I684" t="s">
        <v>37</v>
      </c>
      <c r="J684" t="s">
        <v>65</v>
      </c>
      <c r="K684" t="s">
        <v>51</v>
      </c>
      <c r="L684" t="s">
        <v>111</v>
      </c>
      <c r="M684">
        <v>7</v>
      </c>
      <c r="N684">
        <v>1124</v>
      </c>
      <c r="O684">
        <v>7868</v>
      </c>
      <c r="P684" t="s">
        <v>116</v>
      </c>
      <c r="Q684">
        <v>4</v>
      </c>
      <c r="R684">
        <v>5</v>
      </c>
      <c r="S684" t="s">
        <v>46</v>
      </c>
    </row>
    <row r="685" spans="1:19" x14ac:dyDescent="0.3">
      <c r="A685">
        <v>682</v>
      </c>
      <c r="B685" t="s">
        <v>1091</v>
      </c>
      <c r="C685" s="6">
        <v>45973</v>
      </c>
      <c r="D685" s="2" t="str">
        <f t="shared" si="20"/>
        <v>November</v>
      </c>
      <c r="E685" t="s">
        <v>250</v>
      </c>
      <c r="F685">
        <v>38</v>
      </c>
      <c r="G685" t="str">
        <f t="shared" si="21"/>
        <v>Adult</v>
      </c>
      <c r="H685" t="s">
        <v>42</v>
      </c>
      <c r="I685" t="s">
        <v>43</v>
      </c>
      <c r="J685" t="s">
        <v>65</v>
      </c>
      <c r="K685" t="s">
        <v>51</v>
      </c>
      <c r="L685" t="s">
        <v>74</v>
      </c>
      <c r="M685">
        <v>10</v>
      </c>
      <c r="N685">
        <v>813</v>
      </c>
      <c r="O685">
        <v>8130</v>
      </c>
      <c r="P685" t="s">
        <v>99</v>
      </c>
      <c r="Q685">
        <v>9</v>
      </c>
      <c r="R685">
        <v>1</v>
      </c>
      <c r="S685" t="s">
        <v>46</v>
      </c>
    </row>
    <row r="686" spans="1:19" x14ac:dyDescent="0.3">
      <c r="A686">
        <v>683</v>
      </c>
      <c r="B686" t="s">
        <v>1092</v>
      </c>
      <c r="C686" s="6">
        <v>45974</v>
      </c>
      <c r="D686" s="2" t="str">
        <f t="shared" si="20"/>
        <v>November</v>
      </c>
      <c r="E686" t="s">
        <v>290</v>
      </c>
      <c r="F686">
        <v>30</v>
      </c>
      <c r="G686" t="str">
        <f t="shared" si="21"/>
        <v>Adult</v>
      </c>
      <c r="H686" t="s">
        <v>42</v>
      </c>
      <c r="I686" t="s">
        <v>70</v>
      </c>
      <c r="J686" t="s">
        <v>65</v>
      </c>
      <c r="K686" t="s">
        <v>38</v>
      </c>
      <c r="L686" t="s">
        <v>39</v>
      </c>
      <c r="M686">
        <v>3</v>
      </c>
      <c r="N686">
        <v>25033</v>
      </c>
      <c r="O686">
        <v>75099</v>
      </c>
      <c r="P686" t="s">
        <v>99</v>
      </c>
      <c r="Q686">
        <v>6</v>
      </c>
      <c r="R686">
        <v>2</v>
      </c>
      <c r="S686" t="s">
        <v>28</v>
      </c>
    </row>
    <row r="687" spans="1:19" x14ac:dyDescent="0.3">
      <c r="A687">
        <v>684</v>
      </c>
      <c r="B687" t="s">
        <v>1093</v>
      </c>
      <c r="C687" s="6">
        <v>45975</v>
      </c>
      <c r="D687" s="2" t="str">
        <f t="shared" si="20"/>
        <v>November</v>
      </c>
      <c r="E687" t="s">
        <v>168</v>
      </c>
      <c r="F687">
        <v>37</v>
      </c>
      <c r="G687" t="str">
        <f t="shared" si="21"/>
        <v>Adult</v>
      </c>
      <c r="H687" t="s">
        <v>42</v>
      </c>
      <c r="I687" t="s">
        <v>23</v>
      </c>
      <c r="J687" t="s">
        <v>50</v>
      </c>
      <c r="K687" t="s">
        <v>44</v>
      </c>
      <c r="L687" t="s">
        <v>121</v>
      </c>
      <c r="M687">
        <v>7</v>
      </c>
      <c r="N687">
        <v>28832</v>
      </c>
      <c r="O687">
        <v>201824</v>
      </c>
      <c r="P687" t="s">
        <v>99</v>
      </c>
      <c r="Q687">
        <v>3</v>
      </c>
      <c r="R687">
        <v>5</v>
      </c>
      <c r="S687" t="s">
        <v>28</v>
      </c>
    </row>
    <row r="688" spans="1:19" x14ac:dyDescent="0.3">
      <c r="A688">
        <v>685</v>
      </c>
      <c r="B688" t="s">
        <v>1094</v>
      </c>
      <c r="C688" s="6">
        <v>45976</v>
      </c>
      <c r="D688" s="2" t="str">
        <f t="shared" si="20"/>
        <v>November</v>
      </c>
      <c r="E688" t="s">
        <v>737</v>
      </c>
      <c r="F688">
        <v>35</v>
      </c>
      <c r="G688" t="str">
        <f t="shared" si="21"/>
        <v>Adult</v>
      </c>
      <c r="H688" t="s">
        <v>42</v>
      </c>
      <c r="I688" t="s">
        <v>43</v>
      </c>
      <c r="J688" t="s">
        <v>24</v>
      </c>
      <c r="K688" t="s">
        <v>44</v>
      </c>
      <c r="L688" t="s">
        <v>224</v>
      </c>
      <c r="M688">
        <v>1</v>
      </c>
      <c r="N688">
        <v>12023</v>
      </c>
      <c r="O688">
        <v>12023</v>
      </c>
      <c r="P688" t="s">
        <v>53</v>
      </c>
      <c r="Q688">
        <v>5</v>
      </c>
      <c r="R688">
        <v>3</v>
      </c>
      <c r="S688" t="s">
        <v>28</v>
      </c>
    </row>
    <row r="689" spans="1:19" x14ac:dyDescent="0.3">
      <c r="A689">
        <v>686</v>
      </c>
      <c r="B689" t="s">
        <v>1095</v>
      </c>
      <c r="C689" s="6">
        <v>45977</v>
      </c>
      <c r="D689" s="2" t="str">
        <f t="shared" si="20"/>
        <v>November</v>
      </c>
      <c r="E689" t="s">
        <v>243</v>
      </c>
      <c r="F689">
        <v>42</v>
      </c>
      <c r="G689" t="str">
        <f t="shared" si="21"/>
        <v>Adult</v>
      </c>
      <c r="H689" t="s">
        <v>42</v>
      </c>
      <c r="I689" t="s">
        <v>23</v>
      </c>
      <c r="J689" t="s">
        <v>32</v>
      </c>
      <c r="K689" t="s">
        <v>51</v>
      </c>
      <c r="L689" t="s">
        <v>74</v>
      </c>
      <c r="M689">
        <v>8</v>
      </c>
      <c r="N689">
        <v>1784</v>
      </c>
      <c r="O689">
        <v>14272</v>
      </c>
      <c r="P689" t="s">
        <v>53</v>
      </c>
      <c r="Q689">
        <v>2</v>
      </c>
      <c r="R689">
        <v>5</v>
      </c>
      <c r="S689" t="s">
        <v>46</v>
      </c>
    </row>
    <row r="690" spans="1:19" x14ac:dyDescent="0.3">
      <c r="A690">
        <v>687</v>
      </c>
      <c r="B690" t="s">
        <v>1096</v>
      </c>
      <c r="C690" s="6">
        <v>45978</v>
      </c>
      <c r="D690" s="2" t="str">
        <f t="shared" si="20"/>
        <v>November</v>
      </c>
      <c r="E690" t="s">
        <v>636</v>
      </c>
      <c r="F690">
        <v>29</v>
      </c>
      <c r="G690" t="str">
        <f t="shared" si="21"/>
        <v>Teenager</v>
      </c>
      <c r="H690" t="s">
        <v>22</v>
      </c>
      <c r="I690" t="s">
        <v>70</v>
      </c>
      <c r="J690" t="s">
        <v>24</v>
      </c>
      <c r="K690" t="s">
        <v>51</v>
      </c>
      <c r="L690" t="s">
        <v>52</v>
      </c>
      <c r="M690">
        <v>7</v>
      </c>
      <c r="N690">
        <v>671</v>
      </c>
      <c r="O690">
        <v>4697</v>
      </c>
      <c r="P690" t="s">
        <v>27</v>
      </c>
      <c r="Q690">
        <v>5</v>
      </c>
      <c r="R690">
        <v>2</v>
      </c>
      <c r="S690" t="s">
        <v>46</v>
      </c>
    </row>
    <row r="691" spans="1:19" x14ac:dyDescent="0.3">
      <c r="A691">
        <v>688</v>
      </c>
      <c r="B691" t="s">
        <v>1097</v>
      </c>
      <c r="C691" s="6">
        <v>45979</v>
      </c>
      <c r="D691" s="2" t="str">
        <f t="shared" si="20"/>
        <v>November</v>
      </c>
      <c r="E691" t="s">
        <v>777</v>
      </c>
      <c r="F691">
        <v>25</v>
      </c>
      <c r="G691" t="str">
        <f t="shared" si="21"/>
        <v>Teenager</v>
      </c>
      <c r="H691" t="s">
        <v>42</v>
      </c>
      <c r="I691" t="s">
        <v>120</v>
      </c>
      <c r="J691" t="s">
        <v>65</v>
      </c>
      <c r="K691" t="s">
        <v>44</v>
      </c>
      <c r="L691" t="s">
        <v>45</v>
      </c>
      <c r="M691">
        <v>4</v>
      </c>
      <c r="N691">
        <v>30622</v>
      </c>
      <c r="O691">
        <v>122488</v>
      </c>
      <c r="P691" t="s">
        <v>116</v>
      </c>
      <c r="Q691">
        <v>5</v>
      </c>
      <c r="R691">
        <v>1</v>
      </c>
      <c r="S691" t="s">
        <v>46</v>
      </c>
    </row>
    <row r="692" spans="1:19" x14ac:dyDescent="0.3">
      <c r="A692">
        <v>689</v>
      </c>
      <c r="B692" t="s">
        <v>1098</v>
      </c>
      <c r="C692" s="6">
        <v>45980</v>
      </c>
      <c r="D692" s="2" t="str">
        <f t="shared" si="20"/>
        <v>November</v>
      </c>
      <c r="E692" t="s">
        <v>252</v>
      </c>
      <c r="F692">
        <v>40</v>
      </c>
      <c r="G692" t="str">
        <f t="shared" si="21"/>
        <v>Adult</v>
      </c>
      <c r="H692" t="s">
        <v>22</v>
      </c>
      <c r="I692" t="s">
        <v>49</v>
      </c>
      <c r="J692" t="s">
        <v>32</v>
      </c>
      <c r="K692" t="s">
        <v>25</v>
      </c>
      <c r="L692" t="s">
        <v>189</v>
      </c>
      <c r="M692">
        <v>1</v>
      </c>
      <c r="N692">
        <v>4372</v>
      </c>
      <c r="O692">
        <v>4372</v>
      </c>
      <c r="P692" t="s">
        <v>53</v>
      </c>
      <c r="Q692">
        <v>7</v>
      </c>
      <c r="R692">
        <v>1</v>
      </c>
      <c r="S692" t="s">
        <v>46</v>
      </c>
    </row>
    <row r="693" spans="1:19" x14ac:dyDescent="0.3">
      <c r="A693">
        <v>690</v>
      </c>
      <c r="B693" t="s">
        <v>1099</v>
      </c>
      <c r="C693" s="6">
        <v>45981</v>
      </c>
      <c r="D693" s="2" t="str">
        <f t="shared" si="20"/>
        <v>November</v>
      </c>
      <c r="E693" t="s">
        <v>434</v>
      </c>
      <c r="F693">
        <v>30</v>
      </c>
      <c r="G693" t="str">
        <f t="shared" si="21"/>
        <v>Adult</v>
      </c>
      <c r="H693" t="s">
        <v>22</v>
      </c>
      <c r="I693" t="s">
        <v>70</v>
      </c>
      <c r="J693" t="s">
        <v>50</v>
      </c>
      <c r="K693" t="s">
        <v>44</v>
      </c>
      <c r="L693" t="s">
        <v>91</v>
      </c>
      <c r="M693">
        <v>5</v>
      </c>
      <c r="N693">
        <v>46517</v>
      </c>
      <c r="O693">
        <v>232585</v>
      </c>
      <c r="P693" t="s">
        <v>53</v>
      </c>
      <c r="Q693">
        <v>5</v>
      </c>
      <c r="R693">
        <v>4</v>
      </c>
      <c r="S693" t="s">
        <v>28</v>
      </c>
    </row>
    <row r="694" spans="1:19" x14ac:dyDescent="0.3">
      <c r="A694">
        <v>691</v>
      </c>
      <c r="B694" t="s">
        <v>1100</v>
      </c>
      <c r="C694" s="6">
        <v>45982</v>
      </c>
      <c r="D694" s="2" t="str">
        <f t="shared" si="20"/>
        <v>November</v>
      </c>
      <c r="E694" t="s">
        <v>833</v>
      </c>
      <c r="F694">
        <v>33</v>
      </c>
      <c r="G694" t="str">
        <f t="shared" si="21"/>
        <v>Adult</v>
      </c>
      <c r="H694" t="s">
        <v>22</v>
      </c>
      <c r="I694" t="s">
        <v>49</v>
      </c>
      <c r="J694" t="s">
        <v>50</v>
      </c>
      <c r="K694" t="s">
        <v>33</v>
      </c>
      <c r="L694" t="s">
        <v>34</v>
      </c>
      <c r="M694">
        <v>1</v>
      </c>
      <c r="N694">
        <v>22926</v>
      </c>
      <c r="O694">
        <v>22926</v>
      </c>
      <c r="P694" t="s">
        <v>53</v>
      </c>
      <c r="Q694">
        <v>6</v>
      </c>
      <c r="R694">
        <v>3</v>
      </c>
      <c r="S694" t="s">
        <v>46</v>
      </c>
    </row>
    <row r="695" spans="1:19" x14ac:dyDescent="0.3">
      <c r="A695">
        <v>692</v>
      </c>
      <c r="B695" t="s">
        <v>1101</v>
      </c>
      <c r="C695" s="6">
        <v>45983</v>
      </c>
      <c r="D695" s="2" t="str">
        <f t="shared" si="20"/>
        <v>November</v>
      </c>
      <c r="E695" t="s">
        <v>1102</v>
      </c>
      <c r="F695">
        <v>59</v>
      </c>
      <c r="G695" t="str">
        <f t="shared" si="21"/>
        <v>Senior</v>
      </c>
      <c r="H695" t="s">
        <v>42</v>
      </c>
      <c r="I695" t="s">
        <v>102</v>
      </c>
      <c r="J695" t="s">
        <v>32</v>
      </c>
      <c r="K695" t="s">
        <v>51</v>
      </c>
      <c r="L695" t="s">
        <v>60</v>
      </c>
      <c r="M695">
        <v>1</v>
      </c>
      <c r="N695">
        <v>579</v>
      </c>
      <c r="O695">
        <v>579</v>
      </c>
      <c r="P695" t="s">
        <v>53</v>
      </c>
      <c r="Q695">
        <v>9</v>
      </c>
      <c r="R695">
        <v>2</v>
      </c>
      <c r="S695" t="s">
        <v>46</v>
      </c>
    </row>
    <row r="696" spans="1:19" x14ac:dyDescent="0.3">
      <c r="A696">
        <v>693</v>
      </c>
      <c r="B696" t="s">
        <v>1103</v>
      </c>
      <c r="C696" s="6">
        <v>45984</v>
      </c>
      <c r="D696" s="2" t="str">
        <f t="shared" si="20"/>
        <v>November</v>
      </c>
      <c r="E696" t="s">
        <v>934</v>
      </c>
      <c r="F696">
        <v>56</v>
      </c>
      <c r="G696" t="str">
        <f t="shared" si="21"/>
        <v>Senior</v>
      </c>
      <c r="H696" t="s">
        <v>22</v>
      </c>
      <c r="I696" t="s">
        <v>102</v>
      </c>
      <c r="J696" t="s">
        <v>32</v>
      </c>
      <c r="K696" t="s">
        <v>38</v>
      </c>
      <c r="L696" t="s">
        <v>96</v>
      </c>
      <c r="M696">
        <v>10</v>
      </c>
      <c r="N696">
        <v>14474</v>
      </c>
      <c r="O696">
        <v>144740</v>
      </c>
      <c r="P696" t="s">
        <v>61</v>
      </c>
      <c r="Q696">
        <v>1</v>
      </c>
      <c r="R696">
        <v>5</v>
      </c>
      <c r="S696" t="s">
        <v>28</v>
      </c>
    </row>
    <row r="697" spans="1:19" x14ac:dyDescent="0.3">
      <c r="A697">
        <v>694</v>
      </c>
      <c r="B697" t="s">
        <v>1104</v>
      </c>
      <c r="C697" s="6">
        <v>45985</v>
      </c>
      <c r="D697" s="2" t="str">
        <f t="shared" si="20"/>
        <v>November</v>
      </c>
      <c r="E697" t="s">
        <v>752</v>
      </c>
      <c r="F697">
        <v>34</v>
      </c>
      <c r="G697" t="str">
        <f t="shared" si="21"/>
        <v>Adult</v>
      </c>
      <c r="H697" t="s">
        <v>42</v>
      </c>
      <c r="I697" t="s">
        <v>31</v>
      </c>
      <c r="J697" t="s">
        <v>50</v>
      </c>
      <c r="K697" t="s">
        <v>51</v>
      </c>
      <c r="L697" t="s">
        <v>60</v>
      </c>
      <c r="M697">
        <v>1</v>
      </c>
      <c r="N697">
        <v>1823</v>
      </c>
      <c r="O697">
        <v>1823</v>
      </c>
      <c r="P697" t="s">
        <v>53</v>
      </c>
      <c r="Q697">
        <v>8</v>
      </c>
      <c r="R697">
        <v>3</v>
      </c>
      <c r="S697" t="s">
        <v>28</v>
      </c>
    </row>
    <row r="698" spans="1:19" x14ac:dyDescent="0.3">
      <c r="A698">
        <v>695</v>
      </c>
      <c r="B698" t="s">
        <v>1105</v>
      </c>
      <c r="C698" s="6">
        <v>45986</v>
      </c>
      <c r="D698" s="2" t="str">
        <f t="shared" si="20"/>
        <v>November</v>
      </c>
      <c r="E698" t="s">
        <v>1106</v>
      </c>
      <c r="F698">
        <v>52</v>
      </c>
      <c r="G698" t="str">
        <f t="shared" si="21"/>
        <v>Senior</v>
      </c>
      <c r="H698" t="s">
        <v>42</v>
      </c>
      <c r="I698" t="s">
        <v>31</v>
      </c>
      <c r="J698" t="s">
        <v>24</v>
      </c>
      <c r="K698" t="s">
        <v>33</v>
      </c>
      <c r="L698" t="s">
        <v>34</v>
      </c>
      <c r="M698">
        <v>8</v>
      </c>
      <c r="N698">
        <v>19292</v>
      </c>
      <c r="O698">
        <v>154336</v>
      </c>
      <c r="P698" t="s">
        <v>99</v>
      </c>
      <c r="Q698">
        <v>7</v>
      </c>
      <c r="R698">
        <v>4</v>
      </c>
      <c r="S698" t="s">
        <v>46</v>
      </c>
    </row>
    <row r="699" spans="1:19" x14ac:dyDescent="0.3">
      <c r="A699">
        <v>696</v>
      </c>
      <c r="B699" t="s">
        <v>1107</v>
      </c>
      <c r="C699" s="6">
        <v>45987</v>
      </c>
      <c r="D699" s="2" t="str">
        <f t="shared" si="20"/>
        <v>November</v>
      </c>
      <c r="E699" t="s">
        <v>1083</v>
      </c>
      <c r="F699">
        <v>23</v>
      </c>
      <c r="G699" t="str">
        <f t="shared" si="21"/>
        <v>Teenager</v>
      </c>
      <c r="H699" t="s">
        <v>22</v>
      </c>
      <c r="I699" t="s">
        <v>49</v>
      </c>
      <c r="J699" t="s">
        <v>32</v>
      </c>
      <c r="K699" t="s">
        <v>33</v>
      </c>
      <c r="L699" t="s">
        <v>173</v>
      </c>
      <c r="M699">
        <v>2</v>
      </c>
      <c r="N699">
        <v>2850</v>
      </c>
      <c r="O699">
        <v>5700</v>
      </c>
      <c r="P699" t="s">
        <v>61</v>
      </c>
      <c r="Q699">
        <v>6</v>
      </c>
      <c r="R699">
        <v>4</v>
      </c>
      <c r="S699" t="s">
        <v>46</v>
      </c>
    </row>
    <row r="700" spans="1:19" x14ac:dyDescent="0.3">
      <c r="A700">
        <v>697</v>
      </c>
      <c r="B700" t="s">
        <v>1108</v>
      </c>
      <c r="C700" s="6">
        <v>45988</v>
      </c>
      <c r="D700" s="2" t="str">
        <f t="shared" si="20"/>
        <v>November</v>
      </c>
      <c r="E700" t="s">
        <v>128</v>
      </c>
      <c r="F700">
        <v>57</v>
      </c>
      <c r="G700" t="str">
        <f t="shared" si="21"/>
        <v>Senior</v>
      </c>
      <c r="H700" t="s">
        <v>42</v>
      </c>
      <c r="I700" t="s">
        <v>102</v>
      </c>
      <c r="J700" t="s">
        <v>32</v>
      </c>
      <c r="K700" t="s">
        <v>51</v>
      </c>
      <c r="L700" t="s">
        <v>74</v>
      </c>
      <c r="M700">
        <v>3</v>
      </c>
      <c r="N700">
        <v>541</v>
      </c>
      <c r="O700">
        <v>1623</v>
      </c>
      <c r="P700" t="s">
        <v>116</v>
      </c>
      <c r="Q700">
        <v>9</v>
      </c>
      <c r="R700">
        <v>1</v>
      </c>
      <c r="S700" t="s">
        <v>46</v>
      </c>
    </row>
    <row r="701" spans="1:19" x14ac:dyDescent="0.3">
      <c r="A701">
        <v>698</v>
      </c>
      <c r="B701" t="s">
        <v>1109</v>
      </c>
      <c r="C701" s="6">
        <v>45989</v>
      </c>
      <c r="D701" s="2" t="str">
        <f t="shared" si="20"/>
        <v>November</v>
      </c>
      <c r="E701" t="s">
        <v>1110</v>
      </c>
      <c r="F701">
        <v>39</v>
      </c>
      <c r="G701" t="str">
        <f t="shared" si="21"/>
        <v>Adult</v>
      </c>
      <c r="H701" t="s">
        <v>22</v>
      </c>
      <c r="I701" t="s">
        <v>70</v>
      </c>
      <c r="J701" t="s">
        <v>24</v>
      </c>
      <c r="K701" t="s">
        <v>44</v>
      </c>
      <c r="L701" t="s">
        <v>224</v>
      </c>
      <c r="M701">
        <v>1</v>
      </c>
      <c r="N701">
        <v>6601</v>
      </c>
      <c r="O701">
        <v>6601</v>
      </c>
      <c r="P701" t="s">
        <v>27</v>
      </c>
      <c r="Q701">
        <v>4</v>
      </c>
      <c r="R701">
        <v>1</v>
      </c>
      <c r="S701" t="s">
        <v>28</v>
      </c>
    </row>
    <row r="702" spans="1:19" x14ac:dyDescent="0.3">
      <c r="A702">
        <v>699</v>
      </c>
      <c r="B702" t="s">
        <v>1111</v>
      </c>
      <c r="C702" s="6">
        <v>45990</v>
      </c>
      <c r="D702" s="2" t="str">
        <f t="shared" si="20"/>
        <v>November</v>
      </c>
      <c r="E702" t="s">
        <v>782</v>
      </c>
      <c r="F702">
        <v>33</v>
      </c>
      <c r="G702" t="str">
        <f t="shared" si="21"/>
        <v>Adult</v>
      </c>
      <c r="H702" t="s">
        <v>42</v>
      </c>
      <c r="I702" t="s">
        <v>37</v>
      </c>
      <c r="J702" t="s">
        <v>50</v>
      </c>
      <c r="K702" t="s">
        <v>38</v>
      </c>
      <c r="L702" t="s">
        <v>81</v>
      </c>
      <c r="M702">
        <v>10</v>
      </c>
      <c r="N702">
        <v>30537</v>
      </c>
      <c r="O702">
        <v>305370</v>
      </c>
      <c r="P702" t="s">
        <v>53</v>
      </c>
      <c r="Q702">
        <v>9</v>
      </c>
      <c r="R702">
        <v>1</v>
      </c>
      <c r="S702" t="s">
        <v>28</v>
      </c>
    </row>
    <row r="703" spans="1:19" x14ac:dyDescent="0.3">
      <c r="A703">
        <v>700</v>
      </c>
      <c r="B703" t="s">
        <v>1112</v>
      </c>
      <c r="C703" s="6">
        <v>45991</v>
      </c>
      <c r="D703" s="2" t="str">
        <f t="shared" si="20"/>
        <v>November</v>
      </c>
      <c r="E703" t="s">
        <v>1029</v>
      </c>
      <c r="F703">
        <v>58</v>
      </c>
      <c r="G703" t="str">
        <f t="shared" si="21"/>
        <v>Senior</v>
      </c>
      <c r="H703" t="s">
        <v>22</v>
      </c>
      <c r="I703" t="s">
        <v>102</v>
      </c>
      <c r="J703" t="s">
        <v>50</v>
      </c>
      <c r="K703" t="s">
        <v>33</v>
      </c>
      <c r="L703" t="s">
        <v>34</v>
      </c>
      <c r="M703">
        <v>8</v>
      </c>
      <c r="N703">
        <v>23399</v>
      </c>
      <c r="O703">
        <v>187192</v>
      </c>
      <c r="P703" t="s">
        <v>27</v>
      </c>
      <c r="Q703">
        <v>9</v>
      </c>
      <c r="R703">
        <v>3</v>
      </c>
      <c r="S703" t="s">
        <v>28</v>
      </c>
    </row>
    <row r="704" spans="1:19" x14ac:dyDescent="0.3">
      <c r="A704">
        <v>701</v>
      </c>
      <c r="B704" t="s">
        <v>1113</v>
      </c>
      <c r="C704" s="6">
        <v>45992</v>
      </c>
      <c r="D704" s="2" t="str">
        <f t="shared" si="20"/>
        <v>December</v>
      </c>
      <c r="E704" t="s">
        <v>945</v>
      </c>
      <c r="F704">
        <v>54</v>
      </c>
      <c r="G704" t="str">
        <f t="shared" si="21"/>
        <v>Senior</v>
      </c>
      <c r="H704" t="s">
        <v>22</v>
      </c>
      <c r="I704" t="s">
        <v>64</v>
      </c>
      <c r="J704" t="s">
        <v>24</v>
      </c>
      <c r="K704" t="s">
        <v>51</v>
      </c>
      <c r="L704" t="s">
        <v>74</v>
      </c>
      <c r="M704">
        <v>5</v>
      </c>
      <c r="N704">
        <v>67</v>
      </c>
      <c r="O704">
        <v>335</v>
      </c>
      <c r="P704" t="s">
        <v>53</v>
      </c>
      <c r="Q704">
        <v>5</v>
      </c>
      <c r="R704">
        <v>4</v>
      </c>
      <c r="S704" t="s">
        <v>46</v>
      </c>
    </row>
    <row r="705" spans="1:19" x14ac:dyDescent="0.3">
      <c r="A705">
        <v>702</v>
      </c>
      <c r="B705" t="s">
        <v>1114</v>
      </c>
      <c r="C705" s="6">
        <v>45993</v>
      </c>
      <c r="D705" s="2" t="str">
        <f t="shared" si="20"/>
        <v>December</v>
      </c>
      <c r="E705" t="s">
        <v>137</v>
      </c>
      <c r="F705">
        <v>18</v>
      </c>
      <c r="G705" t="str">
        <f t="shared" si="21"/>
        <v>Teenager</v>
      </c>
      <c r="H705" t="s">
        <v>42</v>
      </c>
      <c r="I705" t="s">
        <v>23</v>
      </c>
      <c r="J705" t="s">
        <v>24</v>
      </c>
      <c r="K705" t="s">
        <v>33</v>
      </c>
      <c r="L705" t="s">
        <v>153</v>
      </c>
      <c r="M705">
        <v>8</v>
      </c>
      <c r="N705">
        <v>20759</v>
      </c>
      <c r="O705">
        <v>166072</v>
      </c>
      <c r="P705" t="s">
        <v>116</v>
      </c>
      <c r="Q705">
        <v>5</v>
      </c>
      <c r="R705">
        <v>2</v>
      </c>
      <c r="S705" t="s">
        <v>46</v>
      </c>
    </row>
    <row r="706" spans="1:19" x14ac:dyDescent="0.3">
      <c r="A706">
        <v>703</v>
      </c>
      <c r="B706" t="s">
        <v>1115</v>
      </c>
      <c r="C706" s="6">
        <v>45994</v>
      </c>
      <c r="D706" s="2" t="str">
        <f t="shared" si="20"/>
        <v>December</v>
      </c>
      <c r="E706" t="s">
        <v>302</v>
      </c>
      <c r="F706">
        <v>53</v>
      </c>
      <c r="G706" t="str">
        <f t="shared" si="21"/>
        <v>Senior</v>
      </c>
      <c r="H706" t="s">
        <v>42</v>
      </c>
      <c r="I706" t="s">
        <v>43</v>
      </c>
      <c r="J706" t="s">
        <v>65</v>
      </c>
      <c r="K706" t="s">
        <v>44</v>
      </c>
      <c r="L706" t="s">
        <v>121</v>
      </c>
      <c r="M706">
        <v>9</v>
      </c>
      <c r="N706">
        <v>14451</v>
      </c>
      <c r="O706">
        <v>130059</v>
      </c>
      <c r="P706" t="s">
        <v>99</v>
      </c>
      <c r="Q706">
        <v>9</v>
      </c>
      <c r="R706">
        <v>3</v>
      </c>
      <c r="S706" t="s">
        <v>46</v>
      </c>
    </row>
    <row r="707" spans="1:19" x14ac:dyDescent="0.3">
      <c r="A707">
        <v>704</v>
      </c>
      <c r="B707" t="s">
        <v>1116</v>
      </c>
      <c r="C707" s="6">
        <v>45995</v>
      </c>
      <c r="D707" s="2" t="str">
        <f t="shared" si="20"/>
        <v>December</v>
      </c>
      <c r="E707" t="s">
        <v>503</v>
      </c>
      <c r="F707">
        <v>29</v>
      </c>
      <c r="G707" t="str">
        <f t="shared" si="21"/>
        <v>Teenager</v>
      </c>
      <c r="H707" t="s">
        <v>22</v>
      </c>
      <c r="I707" t="s">
        <v>80</v>
      </c>
      <c r="J707" t="s">
        <v>24</v>
      </c>
      <c r="K707" t="s">
        <v>33</v>
      </c>
      <c r="L707" t="s">
        <v>153</v>
      </c>
      <c r="M707">
        <v>8</v>
      </c>
      <c r="N707">
        <v>2625</v>
      </c>
      <c r="O707">
        <v>21000</v>
      </c>
      <c r="P707" t="s">
        <v>53</v>
      </c>
      <c r="Q707">
        <v>8</v>
      </c>
      <c r="R707">
        <v>5</v>
      </c>
      <c r="S707" t="s">
        <v>46</v>
      </c>
    </row>
    <row r="708" spans="1:19" x14ac:dyDescent="0.3">
      <c r="A708">
        <v>705</v>
      </c>
      <c r="B708" t="s">
        <v>1117</v>
      </c>
      <c r="C708" s="6">
        <v>45996</v>
      </c>
      <c r="D708" s="2" t="str">
        <f t="shared" ref="D708:D771" si="22">TEXT(C708,"mmmm")</f>
        <v>December</v>
      </c>
      <c r="E708" t="s">
        <v>385</v>
      </c>
      <c r="F708">
        <v>41</v>
      </c>
      <c r="G708" t="str">
        <f t="shared" ref="G708:G771" si="23">IF(F708&gt;=50,"Senior",IF(F708&gt;=30,"Adult","Teenager"))</f>
        <v>Adult</v>
      </c>
      <c r="H708" t="s">
        <v>42</v>
      </c>
      <c r="I708" t="s">
        <v>120</v>
      </c>
      <c r="J708" t="s">
        <v>50</v>
      </c>
      <c r="K708" t="s">
        <v>44</v>
      </c>
      <c r="L708" t="s">
        <v>45</v>
      </c>
      <c r="M708">
        <v>4</v>
      </c>
      <c r="N708">
        <v>10776</v>
      </c>
      <c r="O708">
        <v>43104</v>
      </c>
      <c r="P708" t="s">
        <v>27</v>
      </c>
      <c r="Q708">
        <v>6</v>
      </c>
      <c r="R708">
        <v>2</v>
      </c>
      <c r="S708" t="s">
        <v>46</v>
      </c>
    </row>
    <row r="709" spans="1:19" x14ac:dyDescent="0.3">
      <c r="A709">
        <v>706</v>
      </c>
      <c r="B709" t="s">
        <v>1118</v>
      </c>
      <c r="C709" s="6">
        <v>45997</v>
      </c>
      <c r="D709" s="2" t="str">
        <f t="shared" si="22"/>
        <v>December</v>
      </c>
      <c r="E709" t="s">
        <v>389</v>
      </c>
      <c r="F709">
        <v>42</v>
      </c>
      <c r="G709" t="str">
        <f t="shared" si="23"/>
        <v>Adult</v>
      </c>
      <c r="H709" t="s">
        <v>42</v>
      </c>
      <c r="I709" t="s">
        <v>70</v>
      </c>
      <c r="J709" t="s">
        <v>65</v>
      </c>
      <c r="K709" t="s">
        <v>51</v>
      </c>
      <c r="L709" t="s">
        <v>86</v>
      </c>
      <c r="M709">
        <v>8</v>
      </c>
      <c r="N709">
        <v>348</v>
      </c>
      <c r="O709">
        <v>2784</v>
      </c>
      <c r="P709" t="s">
        <v>99</v>
      </c>
      <c r="Q709">
        <v>3</v>
      </c>
      <c r="R709">
        <v>4</v>
      </c>
      <c r="S709" t="s">
        <v>28</v>
      </c>
    </row>
    <row r="710" spans="1:19" x14ac:dyDescent="0.3">
      <c r="A710">
        <v>707</v>
      </c>
      <c r="B710" t="s">
        <v>1119</v>
      </c>
      <c r="C710" s="6">
        <v>45998</v>
      </c>
      <c r="D710" s="2" t="str">
        <f t="shared" si="22"/>
        <v>December</v>
      </c>
      <c r="E710" t="s">
        <v>498</v>
      </c>
      <c r="F710">
        <v>50</v>
      </c>
      <c r="G710" t="str">
        <f t="shared" si="23"/>
        <v>Senior</v>
      </c>
      <c r="H710" t="s">
        <v>42</v>
      </c>
      <c r="I710" t="s">
        <v>64</v>
      </c>
      <c r="J710" t="s">
        <v>24</v>
      </c>
      <c r="K710" t="s">
        <v>25</v>
      </c>
      <c r="L710" t="s">
        <v>124</v>
      </c>
      <c r="M710">
        <v>8</v>
      </c>
      <c r="N710">
        <v>24053</v>
      </c>
      <c r="O710">
        <v>192424</v>
      </c>
      <c r="P710" t="s">
        <v>27</v>
      </c>
      <c r="Q710">
        <v>3</v>
      </c>
      <c r="R710">
        <v>2</v>
      </c>
      <c r="S710" t="s">
        <v>46</v>
      </c>
    </row>
    <row r="711" spans="1:19" x14ac:dyDescent="0.3">
      <c r="A711">
        <v>708</v>
      </c>
      <c r="B711" t="s">
        <v>1120</v>
      </c>
      <c r="C711" s="6">
        <v>45999</v>
      </c>
      <c r="D711" s="2" t="str">
        <f t="shared" si="22"/>
        <v>December</v>
      </c>
      <c r="E711" t="s">
        <v>294</v>
      </c>
      <c r="F711">
        <v>23</v>
      </c>
      <c r="G711" t="str">
        <f t="shared" si="23"/>
        <v>Teenager</v>
      </c>
      <c r="H711" t="s">
        <v>42</v>
      </c>
      <c r="I711" t="s">
        <v>37</v>
      </c>
      <c r="J711" t="s">
        <v>65</v>
      </c>
      <c r="K711" t="s">
        <v>25</v>
      </c>
      <c r="L711" t="s">
        <v>77</v>
      </c>
      <c r="M711">
        <v>5</v>
      </c>
      <c r="N711">
        <v>17509</v>
      </c>
      <c r="O711">
        <v>87545</v>
      </c>
      <c r="P711" t="s">
        <v>27</v>
      </c>
      <c r="Q711">
        <v>1</v>
      </c>
      <c r="R711">
        <v>1</v>
      </c>
      <c r="S711" t="s">
        <v>46</v>
      </c>
    </row>
    <row r="712" spans="1:19" x14ac:dyDescent="0.3">
      <c r="A712">
        <v>709</v>
      </c>
      <c r="B712" t="s">
        <v>1121</v>
      </c>
      <c r="C712" s="6">
        <v>46000</v>
      </c>
      <c r="D712" s="2" t="str">
        <f t="shared" si="22"/>
        <v>December</v>
      </c>
      <c r="E712" t="s">
        <v>203</v>
      </c>
      <c r="F712">
        <v>51</v>
      </c>
      <c r="G712" t="str">
        <f t="shared" si="23"/>
        <v>Senior</v>
      </c>
      <c r="H712" t="s">
        <v>22</v>
      </c>
      <c r="I712" t="s">
        <v>64</v>
      </c>
      <c r="J712" t="s">
        <v>65</v>
      </c>
      <c r="K712" t="s">
        <v>25</v>
      </c>
      <c r="L712" t="s">
        <v>189</v>
      </c>
      <c r="M712">
        <v>2</v>
      </c>
      <c r="N712">
        <v>1057</v>
      </c>
      <c r="O712">
        <v>2114</v>
      </c>
      <c r="P712" t="s">
        <v>116</v>
      </c>
      <c r="Q712">
        <v>8</v>
      </c>
      <c r="R712">
        <v>1</v>
      </c>
      <c r="S712" t="s">
        <v>28</v>
      </c>
    </row>
    <row r="713" spans="1:19" x14ac:dyDescent="0.3">
      <c r="A713">
        <v>710</v>
      </c>
      <c r="B713" t="s">
        <v>1122</v>
      </c>
      <c r="C713" s="6">
        <v>46001</v>
      </c>
      <c r="D713" s="2" t="str">
        <f t="shared" si="22"/>
        <v>December</v>
      </c>
      <c r="E713" t="s">
        <v>557</v>
      </c>
      <c r="F713">
        <v>29</v>
      </c>
      <c r="G713" t="str">
        <f t="shared" si="23"/>
        <v>Teenager</v>
      </c>
      <c r="H713" t="s">
        <v>42</v>
      </c>
      <c r="I713" t="s">
        <v>23</v>
      </c>
      <c r="J713" t="s">
        <v>65</v>
      </c>
      <c r="K713" t="s">
        <v>38</v>
      </c>
      <c r="L713" t="s">
        <v>135</v>
      </c>
      <c r="M713">
        <v>7</v>
      </c>
      <c r="N713">
        <v>5888</v>
      </c>
      <c r="O713">
        <v>41216</v>
      </c>
      <c r="P713" t="s">
        <v>27</v>
      </c>
      <c r="Q713">
        <v>4</v>
      </c>
      <c r="R713">
        <v>3</v>
      </c>
      <c r="S713" t="s">
        <v>28</v>
      </c>
    </row>
    <row r="714" spans="1:19" x14ac:dyDescent="0.3">
      <c r="A714">
        <v>711</v>
      </c>
      <c r="B714" t="s">
        <v>1123</v>
      </c>
      <c r="C714" s="6">
        <v>46002</v>
      </c>
      <c r="D714" s="2" t="str">
        <f t="shared" si="22"/>
        <v>December</v>
      </c>
      <c r="E714" t="s">
        <v>1124</v>
      </c>
      <c r="F714">
        <v>40</v>
      </c>
      <c r="G714" t="str">
        <f t="shared" si="23"/>
        <v>Adult</v>
      </c>
      <c r="H714" t="s">
        <v>22</v>
      </c>
      <c r="I714" t="s">
        <v>23</v>
      </c>
      <c r="J714" t="s">
        <v>32</v>
      </c>
      <c r="K714" t="s">
        <v>38</v>
      </c>
      <c r="L714" t="s">
        <v>81</v>
      </c>
      <c r="M714">
        <v>5</v>
      </c>
      <c r="N714">
        <v>47842</v>
      </c>
      <c r="O714">
        <v>239210</v>
      </c>
      <c r="P714" t="s">
        <v>61</v>
      </c>
      <c r="Q714">
        <v>5</v>
      </c>
      <c r="R714">
        <v>1</v>
      </c>
      <c r="S714" t="s">
        <v>28</v>
      </c>
    </row>
    <row r="715" spans="1:19" x14ac:dyDescent="0.3">
      <c r="A715">
        <v>712</v>
      </c>
      <c r="B715" t="s">
        <v>1125</v>
      </c>
      <c r="C715" s="6">
        <v>46003</v>
      </c>
      <c r="D715" s="2" t="str">
        <f t="shared" si="22"/>
        <v>December</v>
      </c>
      <c r="E715" t="s">
        <v>250</v>
      </c>
      <c r="F715">
        <v>53</v>
      </c>
      <c r="G715" t="str">
        <f t="shared" si="23"/>
        <v>Senior</v>
      </c>
      <c r="H715" t="s">
        <v>22</v>
      </c>
      <c r="I715" t="s">
        <v>102</v>
      </c>
      <c r="J715" t="s">
        <v>50</v>
      </c>
      <c r="K715" t="s">
        <v>38</v>
      </c>
      <c r="L715" t="s">
        <v>81</v>
      </c>
      <c r="M715">
        <v>7</v>
      </c>
      <c r="N715">
        <v>8645</v>
      </c>
      <c r="O715">
        <v>60515</v>
      </c>
      <c r="P715" t="s">
        <v>27</v>
      </c>
      <c r="Q715">
        <v>3</v>
      </c>
      <c r="R715">
        <v>4</v>
      </c>
      <c r="S715" t="s">
        <v>28</v>
      </c>
    </row>
    <row r="716" spans="1:19" x14ac:dyDescent="0.3">
      <c r="A716">
        <v>713</v>
      </c>
      <c r="B716" t="s">
        <v>1126</v>
      </c>
      <c r="C716" s="6">
        <v>46004</v>
      </c>
      <c r="D716" s="2" t="str">
        <f t="shared" si="22"/>
        <v>December</v>
      </c>
      <c r="E716" t="s">
        <v>1102</v>
      </c>
      <c r="F716">
        <v>38</v>
      </c>
      <c r="G716" t="str">
        <f t="shared" si="23"/>
        <v>Adult</v>
      </c>
      <c r="H716" t="s">
        <v>22</v>
      </c>
      <c r="I716" t="s">
        <v>102</v>
      </c>
      <c r="J716" t="s">
        <v>32</v>
      </c>
      <c r="K716" t="s">
        <v>38</v>
      </c>
      <c r="L716" t="s">
        <v>71</v>
      </c>
      <c r="M716">
        <v>8</v>
      </c>
      <c r="N716">
        <v>3266</v>
      </c>
      <c r="O716">
        <v>26128</v>
      </c>
      <c r="P716" t="s">
        <v>53</v>
      </c>
      <c r="Q716">
        <v>7</v>
      </c>
      <c r="R716">
        <v>1</v>
      </c>
      <c r="S716" t="s">
        <v>46</v>
      </c>
    </row>
    <row r="717" spans="1:19" x14ac:dyDescent="0.3">
      <c r="A717">
        <v>714</v>
      </c>
      <c r="B717" t="s">
        <v>1127</v>
      </c>
      <c r="C717" s="6">
        <v>46005</v>
      </c>
      <c r="D717" s="2" t="str">
        <f t="shared" si="22"/>
        <v>December</v>
      </c>
      <c r="E717" t="s">
        <v>254</v>
      </c>
      <c r="F717">
        <v>56</v>
      </c>
      <c r="G717" t="str">
        <f t="shared" si="23"/>
        <v>Senior</v>
      </c>
      <c r="H717" t="s">
        <v>22</v>
      </c>
      <c r="I717" t="s">
        <v>80</v>
      </c>
      <c r="J717" t="s">
        <v>32</v>
      </c>
      <c r="K717" t="s">
        <v>33</v>
      </c>
      <c r="L717" t="s">
        <v>89</v>
      </c>
      <c r="M717">
        <v>2</v>
      </c>
      <c r="N717">
        <v>2703</v>
      </c>
      <c r="O717">
        <v>5406</v>
      </c>
      <c r="P717" t="s">
        <v>53</v>
      </c>
      <c r="Q717">
        <v>1</v>
      </c>
      <c r="R717">
        <v>5</v>
      </c>
      <c r="S717" t="s">
        <v>46</v>
      </c>
    </row>
    <row r="718" spans="1:19" x14ac:dyDescent="0.3">
      <c r="A718">
        <v>715</v>
      </c>
      <c r="B718" t="s">
        <v>1128</v>
      </c>
      <c r="C718" s="6">
        <v>46006</v>
      </c>
      <c r="D718" s="2" t="str">
        <f t="shared" si="22"/>
        <v>December</v>
      </c>
      <c r="E718" t="s">
        <v>1129</v>
      </c>
      <c r="F718">
        <v>18</v>
      </c>
      <c r="G718" t="str">
        <f t="shared" si="23"/>
        <v>Teenager</v>
      </c>
      <c r="H718" t="s">
        <v>22</v>
      </c>
      <c r="I718" t="s">
        <v>49</v>
      </c>
      <c r="J718" t="s">
        <v>65</v>
      </c>
      <c r="K718" t="s">
        <v>25</v>
      </c>
      <c r="L718" t="s">
        <v>77</v>
      </c>
      <c r="M718">
        <v>7</v>
      </c>
      <c r="N718">
        <v>45142</v>
      </c>
      <c r="O718">
        <v>315994</v>
      </c>
      <c r="P718" t="s">
        <v>27</v>
      </c>
      <c r="Q718">
        <v>9</v>
      </c>
      <c r="R718">
        <v>3</v>
      </c>
      <c r="S718" t="s">
        <v>28</v>
      </c>
    </row>
    <row r="719" spans="1:19" x14ac:dyDescent="0.3">
      <c r="A719">
        <v>716</v>
      </c>
      <c r="B719" t="s">
        <v>1130</v>
      </c>
      <c r="C719" s="6">
        <v>46007</v>
      </c>
      <c r="D719" s="2" t="str">
        <f t="shared" si="22"/>
        <v>December</v>
      </c>
      <c r="E719" t="s">
        <v>652</v>
      </c>
      <c r="F719">
        <v>36</v>
      </c>
      <c r="G719" t="str">
        <f t="shared" si="23"/>
        <v>Adult</v>
      </c>
      <c r="H719" t="s">
        <v>22</v>
      </c>
      <c r="I719" t="s">
        <v>49</v>
      </c>
      <c r="J719" t="s">
        <v>65</v>
      </c>
      <c r="K719" t="s">
        <v>33</v>
      </c>
      <c r="L719" t="s">
        <v>89</v>
      </c>
      <c r="M719">
        <v>3</v>
      </c>
      <c r="N719">
        <v>27400</v>
      </c>
      <c r="O719">
        <v>82200</v>
      </c>
      <c r="P719" t="s">
        <v>116</v>
      </c>
      <c r="Q719">
        <v>3</v>
      </c>
      <c r="R719">
        <v>5</v>
      </c>
      <c r="S719" t="s">
        <v>28</v>
      </c>
    </row>
    <row r="720" spans="1:19" x14ac:dyDescent="0.3">
      <c r="A720">
        <v>717</v>
      </c>
      <c r="B720" t="s">
        <v>1131</v>
      </c>
      <c r="C720" s="6">
        <v>46008</v>
      </c>
      <c r="D720" s="2" t="str">
        <f t="shared" si="22"/>
        <v>December</v>
      </c>
      <c r="E720" t="s">
        <v>617</v>
      </c>
      <c r="F720">
        <v>35</v>
      </c>
      <c r="G720" t="str">
        <f t="shared" si="23"/>
        <v>Adult</v>
      </c>
      <c r="H720" t="s">
        <v>22</v>
      </c>
      <c r="I720" t="s">
        <v>80</v>
      </c>
      <c r="J720" t="s">
        <v>32</v>
      </c>
      <c r="K720" t="s">
        <v>38</v>
      </c>
      <c r="L720" t="s">
        <v>135</v>
      </c>
      <c r="M720">
        <v>5</v>
      </c>
      <c r="N720">
        <v>46821</v>
      </c>
      <c r="O720">
        <v>234105</v>
      </c>
      <c r="P720" t="s">
        <v>99</v>
      </c>
      <c r="Q720">
        <v>6</v>
      </c>
      <c r="R720">
        <v>5</v>
      </c>
      <c r="S720" t="s">
        <v>46</v>
      </c>
    </row>
    <row r="721" spans="1:19" x14ac:dyDescent="0.3">
      <c r="A721">
        <v>718</v>
      </c>
      <c r="B721" t="s">
        <v>1132</v>
      </c>
      <c r="C721" s="6">
        <v>46009</v>
      </c>
      <c r="D721" s="2" t="str">
        <f t="shared" si="22"/>
        <v>December</v>
      </c>
      <c r="E721" t="s">
        <v>724</v>
      </c>
      <c r="F721">
        <v>24</v>
      </c>
      <c r="G721" t="str">
        <f t="shared" si="23"/>
        <v>Teenager</v>
      </c>
      <c r="H721" t="s">
        <v>22</v>
      </c>
      <c r="I721" t="s">
        <v>23</v>
      </c>
      <c r="J721" t="s">
        <v>32</v>
      </c>
      <c r="K721" t="s">
        <v>38</v>
      </c>
      <c r="L721" t="s">
        <v>135</v>
      </c>
      <c r="M721">
        <v>5</v>
      </c>
      <c r="N721">
        <v>32092</v>
      </c>
      <c r="O721">
        <v>160460</v>
      </c>
      <c r="P721" t="s">
        <v>27</v>
      </c>
      <c r="Q721">
        <v>4</v>
      </c>
      <c r="R721">
        <v>2</v>
      </c>
      <c r="S721" t="s">
        <v>28</v>
      </c>
    </row>
    <row r="722" spans="1:19" x14ac:dyDescent="0.3">
      <c r="A722">
        <v>719</v>
      </c>
      <c r="B722" t="s">
        <v>1133</v>
      </c>
      <c r="C722" s="6">
        <v>46010</v>
      </c>
      <c r="D722" s="2" t="str">
        <f t="shared" si="22"/>
        <v>December</v>
      </c>
      <c r="E722" t="s">
        <v>1047</v>
      </c>
      <c r="F722">
        <v>35</v>
      </c>
      <c r="G722" t="str">
        <f t="shared" si="23"/>
        <v>Adult</v>
      </c>
      <c r="H722" t="s">
        <v>22</v>
      </c>
      <c r="I722" t="s">
        <v>102</v>
      </c>
      <c r="J722" t="s">
        <v>32</v>
      </c>
      <c r="K722" t="s">
        <v>38</v>
      </c>
      <c r="L722" t="s">
        <v>96</v>
      </c>
      <c r="M722">
        <v>4</v>
      </c>
      <c r="N722">
        <v>6185</v>
      </c>
      <c r="O722">
        <v>24740</v>
      </c>
      <c r="P722" t="s">
        <v>61</v>
      </c>
      <c r="Q722">
        <v>3</v>
      </c>
      <c r="R722">
        <v>2</v>
      </c>
      <c r="S722" t="s">
        <v>46</v>
      </c>
    </row>
    <row r="723" spans="1:19" x14ac:dyDescent="0.3">
      <c r="A723">
        <v>720</v>
      </c>
      <c r="B723" t="s">
        <v>1134</v>
      </c>
      <c r="C723" s="6">
        <v>46011</v>
      </c>
      <c r="D723" s="2" t="str">
        <f t="shared" si="22"/>
        <v>December</v>
      </c>
      <c r="E723" t="s">
        <v>128</v>
      </c>
      <c r="F723">
        <v>57</v>
      </c>
      <c r="G723" t="str">
        <f t="shared" si="23"/>
        <v>Senior</v>
      </c>
      <c r="H723" t="s">
        <v>42</v>
      </c>
      <c r="I723" t="s">
        <v>43</v>
      </c>
      <c r="J723" t="s">
        <v>65</v>
      </c>
      <c r="K723" t="s">
        <v>51</v>
      </c>
      <c r="L723" t="s">
        <v>60</v>
      </c>
      <c r="M723">
        <v>6</v>
      </c>
      <c r="N723">
        <v>538</v>
      </c>
      <c r="O723">
        <v>3228</v>
      </c>
      <c r="P723" t="s">
        <v>53</v>
      </c>
      <c r="Q723">
        <v>7</v>
      </c>
      <c r="R723">
        <v>2</v>
      </c>
      <c r="S723" t="s">
        <v>28</v>
      </c>
    </row>
    <row r="724" spans="1:19" x14ac:dyDescent="0.3">
      <c r="A724">
        <v>721</v>
      </c>
      <c r="B724" t="s">
        <v>1135</v>
      </c>
      <c r="C724" s="6">
        <v>46012</v>
      </c>
      <c r="D724" s="2" t="str">
        <f t="shared" si="22"/>
        <v>December</v>
      </c>
      <c r="E724" t="s">
        <v>757</v>
      </c>
      <c r="F724">
        <v>54</v>
      </c>
      <c r="G724" t="str">
        <f t="shared" si="23"/>
        <v>Senior</v>
      </c>
      <c r="H724" t="s">
        <v>22</v>
      </c>
      <c r="I724" t="s">
        <v>43</v>
      </c>
      <c r="J724" t="s">
        <v>32</v>
      </c>
      <c r="K724" t="s">
        <v>38</v>
      </c>
      <c r="L724" t="s">
        <v>81</v>
      </c>
      <c r="M724">
        <v>4</v>
      </c>
      <c r="N724">
        <v>6878</v>
      </c>
      <c r="O724">
        <v>27512</v>
      </c>
      <c r="P724" t="s">
        <v>53</v>
      </c>
      <c r="Q724">
        <v>10</v>
      </c>
      <c r="R724">
        <v>1</v>
      </c>
      <c r="S724" t="s">
        <v>46</v>
      </c>
    </row>
    <row r="725" spans="1:19" x14ac:dyDescent="0.3">
      <c r="A725">
        <v>722</v>
      </c>
      <c r="B725" t="s">
        <v>1136</v>
      </c>
      <c r="C725" s="6">
        <v>46013</v>
      </c>
      <c r="D725" s="2" t="str">
        <f t="shared" si="22"/>
        <v>December</v>
      </c>
      <c r="E725" t="s">
        <v>83</v>
      </c>
      <c r="F725">
        <v>21</v>
      </c>
      <c r="G725" t="str">
        <f t="shared" si="23"/>
        <v>Teenager</v>
      </c>
      <c r="H725" t="s">
        <v>22</v>
      </c>
      <c r="I725" t="s">
        <v>120</v>
      </c>
      <c r="J725" t="s">
        <v>24</v>
      </c>
      <c r="K725" t="s">
        <v>51</v>
      </c>
      <c r="L725" t="s">
        <v>52</v>
      </c>
      <c r="M725">
        <v>2</v>
      </c>
      <c r="N725">
        <v>309</v>
      </c>
      <c r="O725">
        <v>618</v>
      </c>
      <c r="P725" t="s">
        <v>61</v>
      </c>
      <c r="Q725">
        <v>2</v>
      </c>
      <c r="R725">
        <v>3</v>
      </c>
      <c r="S725" t="s">
        <v>28</v>
      </c>
    </row>
    <row r="726" spans="1:19" x14ac:dyDescent="0.3">
      <c r="A726">
        <v>723</v>
      </c>
      <c r="B726" t="s">
        <v>1137</v>
      </c>
      <c r="C726" s="6">
        <v>46014</v>
      </c>
      <c r="D726" s="2" t="str">
        <f t="shared" si="22"/>
        <v>December</v>
      </c>
      <c r="E726" t="s">
        <v>1138</v>
      </c>
      <c r="F726">
        <v>46</v>
      </c>
      <c r="G726" t="str">
        <f t="shared" si="23"/>
        <v>Adult</v>
      </c>
      <c r="H726" t="s">
        <v>42</v>
      </c>
      <c r="I726" t="s">
        <v>43</v>
      </c>
      <c r="J726" t="s">
        <v>65</v>
      </c>
      <c r="K726" t="s">
        <v>25</v>
      </c>
      <c r="L726" t="s">
        <v>77</v>
      </c>
      <c r="M726">
        <v>2</v>
      </c>
      <c r="N726">
        <v>32703</v>
      </c>
      <c r="O726">
        <v>65406</v>
      </c>
      <c r="P726" t="s">
        <v>116</v>
      </c>
      <c r="Q726">
        <v>8</v>
      </c>
      <c r="R726">
        <v>2</v>
      </c>
      <c r="S726" t="s">
        <v>46</v>
      </c>
    </row>
    <row r="727" spans="1:19" x14ac:dyDescent="0.3">
      <c r="A727">
        <v>724</v>
      </c>
      <c r="B727" t="s">
        <v>1139</v>
      </c>
      <c r="C727" s="6">
        <v>46015</v>
      </c>
      <c r="D727" s="2" t="str">
        <f t="shared" si="22"/>
        <v>December</v>
      </c>
      <c r="E727" t="s">
        <v>1140</v>
      </c>
      <c r="F727">
        <v>51</v>
      </c>
      <c r="G727" t="str">
        <f t="shared" si="23"/>
        <v>Senior</v>
      </c>
      <c r="H727" t="s">
        <v>22</v>
      </c>
      <c r="I727" t="s">
        <v>70</v>
      </c>
      <c r="J727" t="s">
        <v>32</v>
      </c>
      <c r="K727" t="s">
        <v>38</v>
      </c>
      <c r="L727" t="s">
        <v>81</v>
      </c>
      <c r="M727">
        <v>2</v>
      </c>
      <c r="N727">
        <v>12703</v>
      </c>
      <c r="O727">
        <v>25406</v>
      </c>
      <c r="P727" t="s">
        <v>99</v>
      </c>
      <c r="Q727">
        <v>8</v>
      </c>
      <c r="R727">
        <v>3</v>
      </c>
      <c r="S727" t="s">
        <v>28</v>
      </c>
    </row>
    <row r="728" spans="1:19" x14ac:dyDescent="0.3">
      <c r="A728">
        <v>725</v>
      </c>
      <c r="B728" t="s">
        <v>1141</v>
      </c>
      <c r="C728" s="6">
        <v>46016</v>
      </c>
      <c r="D728" s="2" t="str">
        <f t="shared" si="22"/>
        <v>December</v>
      </c>
      <c r="E728" t="s">
        <v>416</v>
      </c>
      <c r="F728">
        <v>45</v>
      </c>
      <c r="G728" t="str">
        <f t="shared" si="23"/>
        <v>Adult</v>
      </c>
      <c r="H728" t="s">
        <v>42</v>
      </c>
      <c r="I728" t="s">
        <v>102</v>
      </c>
      <c r="J728" t="s">
        <v>50</v>
      </c>
      <c r="K728" t="s">
        <v>25</v>
      </c>
      <c r="L728" t="s">
        <v>77</v>
      </c>
      <c r="M728">
        <v>6</v>
      </c>
      <c r="N728">
        <v>9139</v>
      </c>
      <c r="O728">
        <v>54834</v>
      </c>
      <c r="P728" t="s">
        <v>27</v>
      </c>
      <c r="Q728">
        <v>4</v>
      </c>
      <c r="R728">
        <v>3</v>
      </c>
      <c r="S728" t="s">
        <v>28</v>
      </c>
    </row>
    <row r="729" spans="1:19" x14ac:dyDescent="0.3">
      <c r="A729">
        <v>726</v>
      </c>
      <c r="B729" t="s">
        <v>1142</v>
      </c>
      <c r="C729" s="6">
        <v>46017</v>
      </c>
      <c r="D729" s="2" t="str">
        <f t="shared" si="22"/>
        <v>December</v>
      </c>
      <c r="E729" t="s">
        <v>782</v>
      </c>
      <c r="F729">
        <v>47</v>
      </c>
      <c r="G729" t="str">
        <f t="shared" si="23"/>
        <v>Adult</v>
      </c>
      <c r="H729" t="s">
        <v>42</v>
      </c>
      <c r="I729" t="s">
        <v>120</v>
      </c>
      <c r="J729" t="s">
        <v>65</v>
      </c>
      <c r="K729" t="s">
        <v>44</v>
      </c>
      <c r="L729" t="s">
        <v>121</v>
      </c>
      <c r="M729">
        <v>4</v>
      </c>
      <c r="N729">
        <v>9917</v>
      </c>
      <c r="O729">
        <v>39668</v>
      </c>
      <c r="P729" t="s">
        <v>116</v>
      </c>
      <c r="Q729">
        <v>5</v>
      </c>
      <c r="R729">
        <v>2</v>
      </c>
      <c r="S729" t="s">
        <v>46</v>
      </c>
    </row>
    <row r="730" spans="1:19" x14ac:dyDescent="0.3">
      <c r="A730">
        <v>727</v>
      </c>
      <c r="B730" t="s">
        <v>1143</v>
      </c>
      <c r="C730" s="6">
        <v>46018</v>
      </c>
      <c r="D730" s="2" t="str">
        <f t="shared" si="22"/>
        <v>December</v>
      </c>
      <c r="E730" t="s">
        <v>1144</v>
      </c>
      <c r="F730">
        <v>39</v>
      </c>
      <c r="G730" t="str">
        <f t="shared" si="23"/>
        <v>Adult</v>
      </c>
      <c r="H730" t="s">
        <v>42</v>
      </c>
      <c r="I730" t="s">
        <v>120</v>
      </c>
      <c r="J730" t="s">
        <v>24</v>
      </c>
      <c r="K730" t="s">
        <v>51</v>
      </c>
      <c r="L730" t="s">
        <v>60</v>
      </c>
      <c r="M730">
        <v>3</v>
      </c>
      <c r="N730">
        <v>1156</v>
      </c>
      <c r="O730">
        <v>3468</v>
      </c>
      <c r="P730" t="s">
        <v>53</v>
      </c>
      <c r="Q730">
        <v>3</v>
      </c>
      <c r="R730">
        <v>1</v>
      </c>
      <c r="S730" t="s">
        <v>46</v>
      </c>
    </row>
    <row r="731" spans="1:19" x14ac:dyDescent="0.3">
      <c r="A731">
        <v>728</v>
      </c>
      <c r="B731" t="s">
        <v>1145</v>
      </c>
      <c r="C731" s="6">
        <v>46019</v>
      </c>
      <c r="D731" s="2" t="str">
        <f t="shared" si="22"/>
        <v>December</v>
      </c>
      <c r="E731" t="s">
        <v>826</v>
      </c>
      <c r="F731">
        <v>45</v>
      </c>
      <c r="G731" t="str">
        <f t="shared" si="23"/>
        <v>Adult</v>
      </c>
      <c r="H731" t="s">
        <v>42</v>
      </c>
      <c r="I731" t="s">
        <v>23</v>
      </c>
      <c r="J731" t="s">
        <v>50</v>
      </c>
      <c r="K731" t="s">
        <v>25</v>
      </c>
      <c r="L731" t="s">
        <v>124</v>
      </c>
      <c r="M731">
        <v>5</v>
      </c>
      <c r="N731">
        <v>39409</v>
      </c>
      <c r="O731">
        <v>197045</v>
      </c>
      <c r="P731" t="s">
        <v>61</v>
      </c>
      <c r="Q731">
        <v>7</v>
      </c>
      <c r="R731">
        <v>3</v>
      </c>
      <c r="S731" t="s">
        <v>46</v>
      </c>
    </row>
    <row r="732" spans="1:19" x14ac:dyDescent="0.3">
      <c r="A732">
        <v>729</v>
      </c>
      <c r="B732" t="s">
        <v>1146</v>
      </c>
      <c r="C732" s="6">
        <v>46020</v>
      </c>
      <c r="D732" s="2" t="str">
        <f t="shared" si="22"/>
        <v>December</v>
      </c>
      <c r="E732" t="s">
        <v>543</v>
      </c>
      <c r="F732">
        <v>44</v>
      </c>
      <c r="G732" t="str">
        <f t="shared" si="23"/>
        <v>Adult</v>
      </c>
      <c r="H732" t="s">
        <v>22</v>
      </c>
      <c r="I732" t="s">
        <v>37</v>
      </c>
      <c r="J732" t="s">
        <v>24</v>
      </c>
      <c r="K732" t="s">
        <v>25</v>
      </c>
      <c r="L732" t="s">
        <v>189</v>
      </c>
      <c r="M732">
        <v>5</v>
      </c>
      <c r="N732">
        <v>40816</v>
      </c>
      <c r="O732">
        <v>204080</v>
      </c>
      <c r="P732" t="s">
        <v>61</v>
      </c>
      <c r="Q732">
        <v>4</v>
      </c>
      <c r="R732">
        <v>1</v>
      </c>
      <c r="S732" t="s">
        <v>46</v>
      </c>
    </row>
    <row r="733" spans="1:19" x14ac:dyDescent="0.3">
      <c r="A733">
        <v>730</v>
      </c>
      <c r="B733" t="s">
        <v>1147</v>
      </c>
      <c r="C733" s="6">
        <v>46021</v>
      </c>
      <c r="D733" s="2" t="str">
        <f t="shared" si="22"/>
        <v>December</v>
      </c>
      <c r="E733" t="s">
        <v>55</v>
      </c>
      <c r="F733">
        <v>20</v>
      </c>
      <c r="G733" t="str">
        <f t="shared" si="23"/>
        <v>Teenager</v>
      </c>
      <c r="H733" t="s">
        <v>42</v>
      </c>
      <c r="I733" t="s">
        <v>70</v>
      </c>
      <c r="J733" t="s">
        <v>65</v>
      </c>
      <c r="K733" t="s">
        <v>44</v>
      </c>
      <c r="L733" t="s">
        <v>45</v>
      </c>
      <c r="M733">
        <v>10</v>
      </c>
      <c r="N733">
        <v>37809</v>
      </c>
      <c r="O733">
        <v>378090</v>
      </c>
      <c r="P733" t="s">
        <v>27</v>
      </c>
      <c r="Q733">
        <v>7</v>
      </c>
      <c r="R733">
        <v>2</v>
      </c>
      <c r="S733" t="s">
        <v>28</v>
      </c>
    </row>
    <row r="734" spans="1:19" x14ac:dyDescent="0.3">
      <c r="A734">
        <v>731</v>
      </c>
      <c r="B734" t="s">
        <v>1148</v>
      </c>
      <c r="C734" s="6">
        <v>46022</v>
      </c>
      <c r="D734" s="2" t="str">
        <f t="shared" si="22"/>
        <v>December</v>
      </c>
      <c r="E734" t="s">
        <v>821</v>
      </c>
      <c r="F734">
        <v>23</v>
      </c>
      <c r="G734" t="str">
        <f t="shared" si="23"/>
        <v>Teenager</v>
      </c>
      <c r="H734" t="s">
        <v>42</v>
      </c>
      <c r="I734" t="s">
        <v>120</v>
      </c>
      <c r="J734" t="s">
        <v>65</v>
      </c>
      <c r="K734" t="s">
        <v>25</v>
      </c>
      <c r="L734" t="s">
        <v>26</v>
      </c>
      <c r="M734">
        <v>4</v>
      </c>
      <c r="N734">
        <v>49239</v>
      </c>
      <c r="O734">
        <v>196956</v>
      </c>
      <c r="P734" t="s">
        <v>27</v>
      </c>
      <c r="Q734">
        <v>5</v>
      </c>
      <c r="R734">
        <v>1</v>
      </c>
      <c r="S734" t="s">
        <v>46</v>
      </c>
    </row>
    <row r="735" spans="1:19" x14ac:dyDescent="0.3">
      <c r="A735">
        <v>732</v>
      </c>
      <c r="B735" t="s">
        <v>1149</v>
      </c>
      <c r="C735" s="6">
        <v>46023</v>
      </c>
      <c r="D735" s="2" t="str">
        <f t="shared" si="22"/>
        <v>January</v>
      </c>
      <c r="E735" t="s">
        <v>405</v>
      </c>
      <c r="F735">
        <v>28</v>
      </c>
      <c r="G735" t="str">
        <f t="shared" si="23"/>
        <v>Teenager</v>
      </c>
      <c r="H735" t="s">
        <v>42</v>
      </c>
      <c r="I735" t="s">
        <v>80</v>
      </c>
      <c r="J735" t="s">
        <v>24</v>
      </c>
      <c r="K735" t="s">
        <v>38</v>
      </c>
      <c r="L735" t="s">
        <v>96</v>
      </c>
      <c r="M735">
        <v>4</v>
      </c>
      <c r="N735">
        <v>44860</v>
      </c>
      <c r="O735">
        <v>179440</v>
      </c>
      <c r="P735" t="s">
        <v>116</v>
      </c>
      <c r="Q735">
        <v>3</v>
      </c>
      <c r="R735">
        <v>5</v>
      </c>
      <c r="S735" t="s">
        <v>28</v>
      </c>
    </row>
    <row r="736" spans="1:19" x14ac:dyDescent="0.3">
      <c r="A736">
        <v>733</v>
      </c>
      <c r="B736" t="s">
        <v>1150</v>
      </c>
      <c r="C736" s="6">
        <v>46024</v>
      </c>
      <c r="D736" s="2" t="str">
        <f t="shared" si="22"/>
        <v>January</v>
      </c>
      <c r="E736" t="s">
        <v>1151</v>
      </c>
      <c r="F736">
        <v>39</v>
      </c>
      <c r="G736" t="str">
        <f t="shared" si="23"/>
        <v>Adult</v>
      </c>
      <c r="H736" t="s">
        <v>22</v>
      </c>
      <c r="I736" t="s">
        <v>80</v>
      </c>
      <c r="J736" t="s">
        <v>24</v>
      </c>
      <c r="K736" t="s">
        <v>51</v>
      </c>
      <c r="L736" t="s">
        <v>86</v>
      </c>
      <c r="M736">
        <v>6</v>
      </c>
      <c r="N736">
        <v>759</v>
      </c>
      <c r="O736">
        <v>4554</v>
      </c>
      <c r="P736" t="s">
        <v>27</v>
      </c>
      <c r="Q736">
        <v>3</v>
      </c>
      <c r="R736">
        <v>4</v>
      </c>
      <c r="S736" t="s">
        <v>28</v>
      </c>
    </row>
    <row r="737" spans="1:19" x14ac:dyDescent="0.3">
      <c r="A737">
        <v>734</v>
      </c>
      <c r="B737" t="s">
        <v>1152</v>
      </c>
      <c r="C737" s="6">
        <v>46025</v>
      </c>
      <c r="D737" s="2" t="str">
        <f t="shared" si="22"/>
        <v>January</v>
      </c>
      <c r="E737" t="s">
        <v>536</v>
      </c>
      <c r="F737">
        <v>46</v>
      </c>
      <c r="G737" t="str">
        <f t="shared" si="23"/>
        <v>Adult</v>
      </c>
      <c r="H737" t="s">
        <v>42</v>
      </c>
      <c r="I737" t="s">
        <v>64</v>
      </c>
      <c r="J737" t="s">
        <v>65</v>
      </c>
      <c r="K737" t="s">
        <v>38</v>
      </c>
      <c r="L737" t="s">
        <v>71</v>
      </c>
      <c r="M737">
        <v>3</v>
      </c>
      <c r="N737">
        <v>31506</v>
      </c>
      <c r="O737">
        <v>94518</v>
      </c>
      <c r="P737" t="s">
        <v>99</v>
      </c>
      <c r="Q737">
        <v>4</v>
      </c>
      <c r="R737">
        <v>4</v>
      </c>
      <c r="S737" t="s">
        <v>46</v>
      </c>
    </row>
    <row r="738" spans="1:19" x14ac:dyDescent="0.3">
      <c r="A738">
        <v>735</v>
      </c>
      <c r="B738" t="s">
        <v>1153</v>
      </c>
      <c r="C738" s="6">
        <v>46026</v>
      </c>
      <c r="D738" s="2" t="str">
        <f t="shared" si="22"/>
        <v>January</v>
      </c>
      <c r="E738" t="s">
        <v>583</v>
      </c>
      <c r="F738">
        <v>58</v>
      </c>
      <c r="G738" t="str">
        <f t="shared" si="23"/>
        <v>Senior</v>
      </c>
      <c r="H738" t="s">
        <v>22</v>
      </c>
      <c r="I738" t="s">
        <v>31</v>
      </c>
      <c r="J738" t="s">
        <v>65</v>
      </c>
      <c r="K738" t="s">
        <v>51</v>
      </c>
      <c r="L738" t="s">
        <v>52</v>
      </c>
      <c r="M738">
        <v>9</v>
      </c>
      <c r="N738">
        <v>515</v>
      </c>
      <c r="O738">
        <v>4635</v>
      </c>
      <c r="P738" t="s">
        <v>99</v>
      </c>
      <c r="Q738">
        <v>8</v>
      </c>
      <c r="R738">
        <v>3</v>
      </c>
      <c r="S738" t="s">
        <v>28</v>
      </c>
    </row>
    <row r="739" spans="1:19" x14ac:dyDescent="0.3">
      <c r="A739">
        <v>736</v>
      </c>
      <c r="B739" t="s">
        <v>1154</v>
      </c>
      <c r="C739" s="6">
        <v>46027</v>
      </c>
      <c r="D739" s="2" t="str">
        <f t="shared" si="22"/>
        <v>January</v>
      </c>
      <c r="E739" t="s">
        <v>250</v>
      </c>
      <c r="F739">
        <v>57</v>
      </c>
      <c r="G739" t="str">
        <f t="shared" si="23"/>
        <v>Senior</v>
      </c>
      <c r="H739" t="s">
        <v>42</v>
      </c>
      <c r="I739" t="s">
        <v>31</v>
      </c>
      <c r="J739" t="s">
        <v>32</v>
      </c>
      <c r="K739" t="s">
        <v>33</v>
      </c>
      <c r="L739" t="s">
        <v>173</v>
      </c>
      <c r="M739">
        <v>2</v>
      </c>
      <c r="N739">
        <v>22529</v>
      </c>
      <c r="O739">
        <v>45058</v>
      </c>
      <c r="P739" t="s">
        <v>116</v>
      </c>
      <c r="Q739">
        <v>10</v>
      </c>
      <c r="R739">
        <v>4</v>
      </c>
      <c r="S739" t="s">
        <v>28</v>
      </c>
    </row>
    <row r="740" spans="1:19" x14ac:dyDescent="0.3">
      <c r="A740">
        <v>737</v>
      </c>
      <c r="B740" t="s">
        <v>1155</v>
      </c>
      <c r="C740" s="6">
        <v>46028</v>
      </c>
      <c r="D740" s="2" t="str">
        <f t="shared" si="22"/>
        <v>January</v>
      </c>
      <c r="E740" t="s">
        <v>1156</v>
      </c>
      <c r="F740">
        <v>26</v>
      </c>
      <c r="G740" t="str">
        <f t="shared" si="23"/>
        <v>Teenager</v>
      </c>
      <c r="H740" t="s">
        <v>22</v>
      </c>
      <c r="I740" t="s">
        <v>37</v>
      </c>
      <c r="J740" t="s">
        <v>65</v>
      </c>
      <c r="K740" t="s">
        <v>51</v>
      </c>
      <c r="L740" t="s">
        <v>52</v>
      </c>
      <c r="M740">
        <v>3</v>
      </c>
      <c r="N740">
        <v>869</v>
      </c>
      <c r="O740">
        <v>2607</v>
      </c>
      <c r="P740" t="s">
        <v>27</v>
      </c>
      <c r="Q740">
        <v>2</v>
      </c>
      <c r="R740">
        <v>3</v>
      </c>
      <c r="S740" t="s">
        <v>28</v>
      </c>
    </row>
    <row r="741" spans="1:19" x14ac:dyDescent="0.3">
      <c r="A741">
        <v>738</v>
      </c>
      <c r="B741" t="s">
        <v>1157</v>
      </c>
      <c r="C741" s="6">
        <v>46029</v>
      </c>
      <c r="D741" s="2" t="str">
        <f t="shared" si="22"/>
        <v>January</v>
      </c>
      <c r="E741" t="s">
        <v>660</v>
      </c>
      <c r="F741">
        <v>50</v>
      </c>
      <c r="G741" t="str">
        <f t="shared" si="23"/>
        <v>Senior</v>
      </c>
      <c r="H741" t="s">
        <v>42</v>
      </c>
      <c r="I741" t="s">
        <v>23</v>
      </c>
      <c r="J741" t="s">
        <v>32</v>
      </c>
      <c r="K741" t="s">
        <v>44</v>
      </c>
      <c r="L741" t="s">
        <v>121</v>
      </c>
      <c r="M741">
        <v>3</v>
      </c>
      <c r="N741">
        <v>43677</v>
      </c>
      <c r="O741">
        <v>131031</v>
      </c>
      <c r="P741" t="s">
        <v>53</v>
      </c>
      <c r="Q741">
        <v>1</v>
      </c>
      <c r="R741">
        <v>1</v>
      </c>
      <c r="S741" t="s">
        <v>28</v>
      </c>
    </row>
    <row r="742" spans="1:19" x14ac:dyDescent="0.3">
      <c r="A742">
        <v>739</v>
      </c>
      <c r="B742" t="s">
        <v>1158</v>
      </c>
      <c r="C742" s="6">
        <v>46030</v>
      </c>
      <c r="D742" s="2" t="str">
        <f t="shared" si="22"/>
        <v>January</v>
      </c>
      <c r="E742" t="s">
        <v>328</v>
      </c>
      <c r="F742">
        <v>28</v>
      </c>
      <c r="G742" t="str">
        <f t="shared" si="23"/>
        <v>Teenager</v>
      </c>
      <c r="H742" t="s">
        <v>42</v>
      </c>
      <c r="I742" t="s">
        <v>31</v>
      </c>
      <c r="J742" t="s">
        <v>50</v>
      </c>
      <c r="K742" t="s">
        <v>44</v>
      </c>
      <c r="L742" t="s">
        <v>178</v>
      </c>
      <c r="M742">
        <v>6</v>
      </c>
      <c r="N742">
        <v>31436</v>
      </c>
      <c r="O742">
        <v>188616</v>
      </c>
      <c r="P742" t="s">
        <v>116</v>
      </c>
      <c r="Q742">
        <v>2</v>
      </c>
      <c r="R742">
        <v>3</v>
      </c>
      <c r="S742" t="s">
        <v>46</v>
      </c>
    </row>
    <row r="743" spans="1:19" x14ac:dyDescent="0.3">
      <c r="A743">
        <v>740</v>
      </c>
      <c r="B743" t="s">
        <v>1159</v>
      </c>
      <c r="C743" s="6">
        <v>46031</v>
      </c>
      <c r="D743" s="2" t="str">
        <f t="shared" si="22"/>
        <v>January</v>
      </c>
      <c r="E743" t="s">
        <v>757</v>
      </c>
      <c r="F743">
        <v>28</v>
      </c>
      <c r="G743" t="str">
        <f t="shared" si="23"/>
        <v>Teenager</v>
      </c>
      <c r="H743" t="s">
        <v>22</v>
      </c>
      <c r="I743" t="s">
        <v>120</v>
      </c>
      <c r="J743" t="s">
        <v>50</v>
      </c>
      <c r="K743" t="s">
        <v>44</v>
      </c>
      <c r="L743" t="s">
        <v>121</v>
      </c>
      <c r="M743">
        <v>8</v>
      </c>
      <c r="N743">
        <v>3141</v>
      </c>
      <c r="O743">
        <v>25128</v>
      </c>
      <c r="P743" t="s">
        <v>116</v>
      </c>
      <c r="Q743">
        <v>4</v>
      </c>
      <c r="R743">
        <v>3</v>
      </c>
      <c r="S743" t="s">
        <v>46</v>
      </c>
    </row>
    <row r="744" spans="1:19" x14ac:dyDescent="0.3">
      <c r="A744">
        <v>741</v>
      </c>
      <c r="B744" t="s">
        <v>1160</v>
      </c>
      <c r="C744" s="6">
        <v>46032</v>
      </c>
      <c r="D744" s="2" t="str">
        <f t="shared" si="22"/>
        <v>January</v>
      </c>
      <c r="E744" t="s">
        <v>152</v>
      </c>
      <c r="F744">
        <v>20</v>
      </c>
      <c r="G744" t="str">
        <f t="shared" si="23"/>
        <v>Teenager</v>
      </c>
      <c r="H744" t="s">
        <v>22</v>
      </c>
      <c r="I744" t="s">
        <v>49</v>
      </c>
      <c r="J744" t="s">
        <v>32</v>
      </c>
      <c r="K744" t="s">
        <v>25</v>
      </c>
      <c r="L744" t="s">
        <v>124</v>
      </c>
      <c r="M744">
        <v>5</v>
      </c>
      <c r="N744">
        <v>21379</v>
      </c>
      <c r="O744">
        <v>106895</v>
      </c>
      <c r="P744" t="s">
        <v>99</v>
      </c>
      <c r="Q744">
        <v>2</v>
      </c>
      <c r="R744">
        <v>5</v>
      </c>
      <c r="S744" t="s">
        <v>28</v>
      </c>
    </row>
    <row r="745" spans="1:19" x14ac:dyDescent="0.3">
      <c r="A745">
        <v>742</v>
      </c>
      <c r="B745" t="s">
        <v>1161</v>
      </c>
      <c r="C745" s="6">
        <v>46033</v>
      </c>
      <c r="D745" s="2" t="str">
        <f t="shared" si="22"/>
        <v>January</v>
      </c>
      <c r="E745" t="s">
        <v>839</v>
      </c>
      <c r="F745">
        <v>30</v>
      </c>
      <c r="G745" t="str">
        <f t="shared" si="23"/>
        <v>Adult</v>
      </c>
      <c r="H745" t="s">
        <v>42</v>
      </c>
      <c r="I745" t="s">
        <v>31</v>
      </c>
      <c r="J745" t="s">
        <v>65</v>
      </c>
      <c r="K745" t="s">
        <v>51</v>
      </c>
      <c r="L745" t="s">
        <v>52</v>
      </c>
      <c r="M745">
        <v>8</v>
      </c>
      <c r="N745">
        <v>1534</v>
      </c>
      <c r="O745">
        <v>12272</v>
      </c>
      <c r="P745" t="s">
        <v>61</v>
      </c>
      <c r="Q745">
        <v>8</v>
      </c>
      <c r="R745">
        <v>2</v>
      </c>
      <c r="S745" t="s">
        <v>46</v>
      </c>
    </row>
    <row r="746" spans="1:19" x14ac:dyDescent="0.3">
      <c r="A746">
        <v>743</v>
      </c>
      <c r="B746" t="s">
        <v>1162</v>
      </c>
      <c r="C746" s="6">
        <v>46034</v>
      </c>
      <c r="D746" s="2" t="str">
        <f t="shared" si="22"/>
        <v>January</v>
      </c>
      <c r="E746" t="s">
        <v>284</v>
      </c>
      <c r="F746">
        <v>60</v>
      </c>
      <c r="G746" t="str">
        <f t="shared" si="23"/>
        <v>Senior</v>
      </c>
      <c r="H746" t="s">
        <v>22</v>
      </c>
      <c r="I746" t="s">
        <v>37</v>
      </c>
      <c r="J746" t="s">
        <v>32</v>
      </c>
      <c r="K746" t="s">
        <v>33</v>
      </c>
      <c r="L746" t="s">
        <v>89</v>
      </c>
      <c r="M746">
        <v>8</v>
      </c>
      <c r="N746">
        <v>31766</v>
      </c>
      <c r="O746">
        <v>254128</v>
      </c>
      <c r="P746" t="s">
        <v>116</v>
      </c>
      <c r="Q746">
        <v>4</v>
      </c>
      <c r="R746">
        <v>4</v>
      </c>
      <c r="S746" t="s">
        <v>46</v>
      </c>
    </row>
    <row r="747" spans="1:19" x14ac:dyDescent="0.3">
      <c r="A747">
        <v>744</v>
      </c>
      <c r="B747" t="s">
        <v>1163</v>
      </c>
      <c r="C747" s="6">
        <v>46035</v>
      </c>
      <c r="D747" s="2" t="str">
        <f t="shared" si="22"/>
        <v>January</v>
      </c>
      <c r="E747" t="s">
        <v>250</v>
      </c>
      <c r="F747">
        <v>19</v>
      </c>
      <c r="G747" t="str">
        <f t="shared" si="23"/>
        <v>Teenager</v>
      </c>
      <c r="H747" t="s">
        <v>22</v>
      </c>
      <c r="I747" t="s">
        <v>23</v>
      </c>
      <c r="J747" t="s">
        <v>32</v>
      </c>
      <c r="K747" t="s">
        <v>33</v>
      </c>
      <c r="L747" t="s">
        <v>153</v>
      </c>
      <c r="M747">
        <v>9</v>
      </c>
      <c r="N747">
        <v>21380</v>
      </c>
      <c r="O747">
        <v>192420</v>
      </c>
      <c r="P747" t="s">
        <v>53</v>
      </c>
      <c r="Q747">
        <v>6</v>
      </c>
      <c r="R747">
        <v>4</v>
      </c>
      <c r="S747" t="s">
        <v>28</v>
      </c>
    </row>
    <row r="748" spans="1:19" x14ac:dyDescent="0.3">
      <c r="A748">
        <v>745</v>
      </c>
      <c r="B748" t="s">
        <v>1164</v>
      </c>
      <c r="C748" s="6">
        <v>46036</v>
      </c>
      <c r="D748" s="2" t="str">
        <f t="shared" si="22"/>
        <v>January</v>
      </c>
      <c r="E748" t="s">
        <v>1156</v>
      </c>
      <c r="F748">
        <v>45</v>
      </c>
      <c r="G748" t="str">
        <f t="shared" si="23"/>
        <v>Adult</v>
      </c>
      <c r="H748" t="s">
        <v>22</v>
      </c>
      <c r="I748" t="s">
        <v>23</v>
      </c>
      <c r="J748" t="s">
        <v>24</v>
      </c>
      <c r="K748" t="s">
        <v>44</v>
      </c>
      <c r="L748" t="s">
        <v>224</v>
      </c>
      <c r="M748">
        <v>3</v>
      </c>
      <c r="N748">
        <v>19417</v>
      </c>
      <c r="O748">
        <v>58251</v>
      </c>
      <c r="P748" t="s">
        <v>53</v>
      </c>
      <c r="Q748">
        <v>7</v>
      </c>
      <c r="R748">
        <v>1</v>
      </c>
      <c r="S748" t="s">
        <v>28</v>
      </c>
    </row>
    <row r="749" spans="1:19" x14ac:dyDescent="0.3">
      <c r="A749">
        <v>746</v>
      </c>
      <c r="B749" t="s">
        <v>1165</v>
      </c>
      <c r="C749" s="6">
        <v>46037</v>
      </c>
      <c r="D749" s="2" t="str">
        <f t="shared" si="22"/>
        <v>January</v>
      </c>
      <c r="E749" t="s">
        <v>603</v>
      </c>
      <c r="F749">
        <v>29</v>
      </c>
      <c r="G749" t="str">
        <f t="shared" si="23"/>
        <v>Teenager</v>
      </c>
      <c r="H749" t="s">
        <v>22</v>
      </c>
      <c r="I749" t="s">
        <v>70</v>
      </c>
      <c r="J749" t="s">
        <v>32</v>
      </c>
      <c r="K749" t="s">
        <v>33</v>
      </c>
      <c r="L749" t="s">
        <v>153</v>
      </c>
      <c r="M749">
        <v>10</v>
      </c>
      <c r="N749">
        <v>2741</v>
      </c>
      <c r="O749">
        <v>27410</v>
      </c>
      <c r="P749" t="s">
        <v>61</v>
      </c>
      <c r="Q749">
        <v>2</v>
      </c>
      <c r="R749">
        <v>3</v>
      </c>
      <c r="S749" t="s">
        <v>28</v>
      </c>
    </row>
    <row r="750" spans="1:19" x14ac:dyDescent="0.3">
      <c r="A750">
        <v>747</v>
      </c>
      <c r="B750" t="s">
        <v>1166</v>
      </c>
      <c r="C750" s="6">
        <v>46038</v>
      </c>
      <c r="D750" s="2" t="str">
        <f t="shared" si="22"/>
        <v>January</v>
      </c>
      <c r="E750" t="s">
        <v>418</v>
      </c>
      <c r="F750">
        <v>43</v>
      </c>
      <c r="G750" t="str">
        <f t="shared" si="23"/>
        <v>Adult</v>
      </c>
      <c r="H750" t="s">
        <v>22</v>
      </c>
      <c r="I750" t="s">
        <v>64</v>
      </c>
      <c r="J750" t="s">
        <v>65</v>
      </c>
      <c r="K750" t="s">
        <v>33</v>
      </c>
      <c r="L750" t="s">
        <v>173</v>
      </c>
      <c r="M750">
        <v>4</v>
      </c>
      <c r="N750">
        <v>23518</v>
      </c>
      <c r="O750">
        <v>94072</v>
      </c>
      <c r="P750" t="s">
        <v>61</v>
      </c>
      <c r="Q750">
        <v>7</v>
      </c>
      <c r="R750">
        <v>4</v>
      </c>
      <c r="S750" t="s">
        <v>46</v>
      </c>
    </row>
    <row r="751" spans="1:19" x14ac:dyDescent="0.3">
      <c r="A751">
        <v>748</v>
      </c>
      <c r="B751" t="s">
        <v>1167</v>
      </c>
      <c r="C751" s="6">
        <v>46039</v>
      </c>
      <c r="D751" s="2" t="str">
        <f t="shared" si="22"/>
        <v>January</v>
      </c>
      <c r="E751" t="s">
        <v>888</v>
      </c>
      <c r="F751">
        <v>26</v>
      </c>
      <c r="G751" t="str">
        <f t="shared" si="23"/>
        <v>Teenager</v>
      </c>
      <c r="H751" t="s">
        <v>22</v>
      </c>
      <c r="I751" t="s">
        <v>70</v>
      </c>
      <c r="J751" t="s">
        <v>32</v>
      </c>
      <c r="K751" t="s">
        <v>38</v>
      </c>
      <c r="L751" t="s">
        <v>81</v>
      </c>
      <c r="M751">
        <v>5</v>
      </c>
      <c r="N751">
        <v>14061</v>
      </c>
      <c r="O751">
        <v>70305</v>
      </c>
      <c r="P751" t="s">
        <v>116</v>
      </c>
      <c r="Q751">
        <v>3</v>
      </c>
      <c r="R751">
        <v>2</v>
      </c>
      <c r="S751" t="s">
        <v>28</v>
      </c>
    </row>
    <row r="752" spans="1:19" x14ac:dyDescent="0.3">
      <c r="A752">
        <v>749</v>
      </c>
      <c r="B752" t="s">
        <v>1168</v>
      </c>
      <c r="C752" s="6">
        <v>46040</v>
      </c>
      <c r="D752" s="2" t="str">
        <f t="shared" si="22"/>
        <v>January</v>
      </c>
      <c r="E752" t="s">
        <v>498</v>
      </c>
      <c r="F752">
        <v>44</v>
      </c>
      <c r="G752" t="str">
        <f t="shared" si="23"/>
        <v>Adult</v>
      </c>
      <c r="H752" t="s">
        <v>22</v>
      </c>
      <c r="I752" t="s">
        <v>37</v>
      </c>
      <c r="J752" t="s">
        <v>50</v>
      </c>
      <c r="K752" t="s">
        <v>33</v>
      </c>
      <c r="L752" t="s">
        <v>173</v>
      </c>
      <c r="M752">
        <v>4</v>
      </c>
      <c r="N752">
        <v>38918</v>
      </c>
      <c r="O752">
        <v>155672</v>
      </c>
      <c r="P752" t="s">
        <v>116</v>
      </c>
      <c r="Q752">
        <v>7</v>
      </c>
      <c r="R752">
        <v>1</v>
      </c>
      <c r="S752" t="s">
        <v>46</v>
      </c>
    </row>
    <row r="753" spans="1:19" x14ac:dyDescent="0.3">
      <c r="A753">
        <v>750</v>
      </c>
      <c r="B753" t="s">
        <v>1169</v>
      </c>
      <c r="C753" s="6">
        <v>46041</v>
      </c>
      <c r="D753" s="2" t="str">
        <f t="shared" si="22"/>
        <v>January</v>
      </c>
      <c r="E753" t="s">
        <v>256</v>
      </c>
      <c r="F753">
        <v>50</v>
      </c>
      <c r="G753" t="str">
        <f t="shared" si="23"/>
        <v>Senior</v>
      </c>
      <c r="H753" t="s">
        <v>42</v>
      </c>
      <c r="I753" t="s">
        <v>43</v>
      </c>
      <c r="J753" t="s">
        <v>24</v>
      </c>
      <c r="K753" t="s">
        <v>51</v>
      </c>
      <c r="L753" t="s">
        <v>111</v>
      </c>
      <c r="M753">
        <v>2</v>
      </c>
      <c r="N753">
        <v>1672</v>
      </c>
      <c r="O753">
        <v>3344</v>
      </c>
      <c r="P753" t="s">
        <v>53</v>
      </c>
      <c r="Q753">
        <v>9</v>
      </c>
      <c r="R753">
        <v>4</v>
      </c>
      <c r="S753" t="s">
        <v>28</v>
      </c>
    </row>
    <row r="754" spans="1:19" x14ac:dyDescent="0.3">
      <c r="A754">
        <v>751</v>
      </c>
      <c r="B754" t="s">
        <v>1170</v>
      </c>
      <c r="C754" s="6">
        <v>46042</v>
      </c>
      <c r="D754" s="2" t="str">
        <f t="shared" si="22"/>
        <v>January</v>
      </c>
      <c r="E754" t="s">
        <v>848</v>
      </c>
      <c r="F754">
        <v>28</v>
      </c>
      <c r="G754" t="str">
        <f t="shared" si="23"/>
        <v>Teenager</v>
      </c>
      <c r="H754" t="s">
        <v>42</v>
      </c>
      <c r="I754" t="s">
        <v>37</v>
      </c>
      <c r="J754" t="s">
        <v>50</v>
      </c>
      <c r="K754" t="s">
        <v>44</v>
      </c>
      <c r="L754" t="s">
        <v>91</v>
      </c>
      <c r="M754">
        <v>4</v>
      </c>
      <c r="N754">
        <v>38969</v>
      </c>
      <c r="O754">
        <v>155876</v>
      </c>
      <c r="P754" t="s">
        <v>27</v>
      </c>
      <c r="Q754">
        <v>8</v>
      </c>
      <c r="R754">
        <v>3</v>
      </c>
      <c r="S754" t="s">
        <v>46</v>
      </c>
    </row>
    <row r="755" spans="1:19" x14ac:dyDescent="0.3">
      <c r="A755">
        <v>752</v>
      </c>
      <c r="B755" t="s">
        <v>1171</v>
      </c>
      <c r="C755" s="6">
        <v>46043</v>
      </c>
      <c r="D755" s="2" t="str">
        <f t="shared" si="22"/>
        <v>January</v>
      </c>
      <c r="E755" t="s">
        <v>1106</v>
      </c>
      <c r="F755">
        <v>51</v>
      </c>
      <c r="G755" t="str">
        <f t="shared" si="23"/>
        <v>Senior</v>
      </c>
      <c r="H755" t="s">
        <v>42</v>
      </c>
      <c r="I755" t="s">
        <v>23</v>
      </c>
      <c r="J755" t="s">
        <v>32</v>
      </c>
      <c r="K755" t="s">
        <v>38</v>
      </c>
      <c r="L755" t="s">
        <v>39</v>
      </c>
      <c r="M755">
        <v>9</v>
      </c>
      <c r="N755">
        <v>29393</v>
      </c>
      <c r="O755">
        <v>264537</v>
      </c>
      <c r="P755" t="s">
        <v>99</v>
      </c>
      <c r="Q755">
        <v>9</v>
      </c>
      <c r="R755">
        <v>4</v>
      </c>
      <c r="S755" t="s">
        <v>46</v>
      </c>
    </row>
    <row r="756" spans="1:19" x14ac:dyDescent="0.3">
      <c r="A756">
        <v>753</v>
      </c>
      <c r="B756" t="s">
        <v>1172</v>
      </c>
      <c r="C756" s="6">
        <v>46044</v>
      </c>
      <c r="D756" s="2" t="str">
        <f t="shared" si="22"/>
        <v>January</v>
      </c>
      <c r="E756" t="s">
        <v>180</v>
      </c>
      <c r="F756">
        <v>31</v>
      </c>
      <c r="G756" t="str">
        <f t="shared" si="23"/>
        <v>Adult</v>
      </c>
      <c r="H756" t="s">
        <v>42</v>
      </c>
      <c r="I756" t="s">
        <v>64</v>
      </c>
      <c r="J756" t="s">
        <v>32</v>
      </c>
      <c r="K756" t="s">
        <v>38</v>
      </c>
      <c r="L756" t="s">
        <v>96</v>
      </c>
      <c r="M756">
        <v>3</v>
      </c>
      <c r="N756">
        <v>19841</v>
      </c>
      <c r="O756">
        <v>59523</v>
      </c>
      <c r="P756" t="s">
        <v>116</v>
      </c>
      <c r="Q756">
        <v>3</v>
      </c>
      <c r="R756">
        <v>5</v>
      </c>
      <c r="S756" t="s">
        <v>46</v>
      </c>
    </row>
    <row r="757" spans="1:19" x14ac:dyDescent="0.3">
      <c r="A757">
        <v>754</v>
      </c>
      <c r="B757" t="s">
        <v>1173</v>
      </c>
      <c r="C757" s="6">
        <v>46045</v>
      </c>
      <c r="D757" s="2" t="str">
        <f t="shared" si="22"/>
        <v>January</v>
      </c>
      <c r="E757" t="s">
        <v>409</v>
      </c>
      <c r="F757">
        <v>50</v>
      </c>
      <c r="G757" t="str">
        <f t="shared" si="23"/>
        <v>Senior</v>
      </c>
      <c r="H757" t="s">
        <v>22</v>
      </c>
      <c r="I757" t="s">
        <v>102</v>
      </c>
      <c r="J757" t="s">
        <v>50</v>
      </c>
      <c r="K757" t="s">
        <v>44</v>
      </c>
      <c r="L757" t="s">
        <v>178</v>
      </c>
      <c r="M757">
        <v>3</v>
      </c>
      <c r="N757">
        <v>25175</v>
      </c>
      <c r="O757">
        <v>75525</v>
      </c>
      <c r="P757" t="s">
        <v>99</v>
      </c>
      <c r="Q757">
        <v>2</v>
      </c>
      <c r="R757">
        <v>2</v>
      </c>
      <c r="S757" t="s">
        <v>28</v>
      </c>
    </row>
    <row r="758" spans="1:19" x14ac:dyDescent="0.3">
      <c r="A758">
        <v>755</v>
      </c>
      <c r="B758" t="s">
        <v>1174</v>
      </c>
      <c r="C758" s="6">
        <v>46046</v>
      </c>
      <c r="D758" s="2" t="str">
        <f t="shared" si="22"/>
        <v>January</v>
      </c>
      <c r="E758" t="s">
        <v>1175</v>
      </c>
      <c r="F758">
        <v>44</v>
      </c>
      <c r="G758" t="str">
        <f t="shared" si="23"/>
        <v>Adult</v>
      </c>
      <c r="H758" t="s">
        <v>42</v>
      </c>
      <c r="I758" t="s">
        <v>43</v>
      </c>
      <c r="J758" t="s">
        <v>50</v>
      </c>
      <c r="K758" t="s">
        <v>33</v>
      </c>
      <c r="L758" t="s">
        <v>34</v>
      </c>
      <c r="M758">
        <v>3</v>
      </c>
      <c r="N758">
        <v>43195</v>
      </c>
      <c r="O758">
        <v>129585</v>
      </c>
      <c r="P758" t="s">
        <v>99</v>
      </c>
      <c r="Q758">
        <v>2</v>
      </c>
      <c r="R758">
        <v>4</v>
      </c>
      <c r="S758" t="s">
        <v>46</v>
      </c>
    </row>
    <row r="759" spans="1:19" x14ac:dyDescent="0.3">
      <c r="A759">
        <v>756</v>
      </c>
      <c r="B759" t="s">
        <v>1176</v>
      </c>
      <c r="C759" s="6">
        <v>46047</v>
      </c>
      <c r="D759" s="2" t="str">
        <f t="shared" si="22"/>
        <v>January</v>
      </c>
      <c r="E759" t="s">
        <v>644</v>
      </c>
      <c r="F759">
        <v>58</v>
      </c>
      <c r="G759" t="str">
        <f t="shared" si="23"/>
        <v>Senior</v>
      </c>
      <c r="H759" t="s">
        <v>22</v>
      </c>
      <c r="I759" t="s">
        <v>23</v>
      </c>
      <c r="J759" t="s">
        <v>50</v>
      </c>
      <c r="K759" t="s">
        <v>38</v>
      </c>
      <c r="L759" t="s">
        <v>96</v>
      </c>
      <c r="M759">
        <v>1</v>
      </c>
      <c r="N759">
        <v>2638</v>
      </c>
      <c r="O759">
        <v>2638</v>
      </c>
      <c r="P759" t="s">
        <v>53</v>
      </c>
      <c r="Q759">
        <v>8</v>
      </c>
      <c r="R759">
        <v>1</v>
      </c>
      <c r="S759" t="s">
        <v>46</v>
      </c>
    </row>
    <row r="760" spans="1:19" x14ac:dyDescent="0.3">
      <c r="A760">
        <v>757</v>
      </c>
      <c r="B760" t="s">
        <v>1177</v>
      </c>
      <c r="C760" s="6">
        <v>46048</v>
      </c>
      <c r="D760" s="2" t="str">
        <f t="shared" si="22"/>
        <v>January</v>
      </c>
      <c r="E760" t="s">
        <v>451</v>
      </c>
      <c r="F760">
        <v>25</v>
      </c>
      <c r="G760" t="str">
        <f t="shared" si="23"/>
        <v>Teenager</v>
      </c>
      <c r="H760" t="s">
        <v>22</v>
      </c>
      <c r="I760" t="s">
        <v>102</v>
      </c>
      <c r="J760" t="s">
        <v>50</v>
      </c>
      <c r="K760" t="s">
        <v>25</v>
      </c>
      <c r="L760" t="s">
        <v>26</v>
      </c>
      <c r="M760">
        <v>2</v>
      </c>
      <c r="N760">
        <v>49820</v>
      </c>
      <c r="O760">
        <v>99640</v>
      </c>
      <c r="P760" t="s">
        <v>27</v>
      </c>
      <c r="Q760">
        <v>1</v>
      </c>
      <c r="R760">
        <v>5</v>
      </c>
      <c r="S760" t="s">
        <v>46</v>
      </c>
    </row>
    <row r="761" spans="1:19" x14ac:dyDescent="0.3">
      <c r="A761">
        <v>758</v>
      </c>
      <c r="B761" t="s">
        <v>1178</v>
      </c>
      <c r="C761" s="6">
        <v>46049</v>
      </c>
      <c r="D761" s="2" t="str">
        <f t="shared" si="22"/>
        <v>January</v>
      </c>
      <c r="E761" t="s">
        <v>113</v>
      </c>
      <c r="F761">
        <v>53</v>
      </c>
      <c r="G761" t="str">
        <f t="shared" si="23"/>
        <v>Senior</v>
      </c>
      <c r="H761" t="s">
        <v>42</v>
      </c>
      <c r="I761" t="s">
        <v>80</v>
      </c>
      <c r="J761" t="s">
        <v>65</v>
      </c>
      <c r="K761" t="s">
        <v>38</v>
      </c>
      <c r="L761" t="s">
        <v>39</v>
      </c>
      <c r="M761">
        <v>5</v>
      </c>
      <c r="N761">
        <v>21356</v>
      </c>
      <c r="O761">
        <v>106780</v>
      </c>
      <c r="P761" t="s">
        <v>53</v>
      </c>
      <c r="Q761">
        <v>7</v>
      </c>
      <c r="R761">
        <v>1</v>
      </c>
      <c r="S761" t="s">
        <v>28</v>
      </c>
    </row>
    <row r="762" spans="1:19" x14ac:dyDescent="0.3">
      <c r="A762">
        <v>759</v>
      </c>
      <c r="B762" t="s">
        <v>1179</v>
      </c>
      <c r="C762" s="6">
        <v>46050</v>
      </c>
      <c r="D762" s="2" t="str">
        <f t="shared" si="22"/>
        <v>January</v>
      </c>
      <c r="E762" t="s">
        <v>83</v>
      </c>
      <c r="F762">
        <v>22</v>
      </c>
      <c r="G762" t="str">
        <f t="shared" si="23"/>
        <v>Teenager</v>
      </c>
      <c r="H762" t="s">
        <v>42</v>
      </c>
      <c r="I762" t="s">
        <v>37</v>
      </c>
      <c r="J762" t="s">
        <v>50</v>
      </c>
      <c r="K762" t="s">
        <v>44</v>
      </c>
      <c r="L762" t="s">
        <v>45</v>
      </c>
      <c r="M762">
        <v>4</v>
      </c>
      <c r="N762">
        <v>4335</v>
      </c>
      <c r="O762">
        <v>17340</v>
      </c>
      <c r="P762" t="s">
        <v>116</v>
      </c>
      <c r="Q762">
        <v>7</v>
      </c>
      <c r="R762">
        <v>3</v>
      </c>
      <c r="S762" t="s">
        <v>28</v>
      </c>
    </row>
    <row r="763" spans="1:19" x14ac:dyDescent="0.3">
      <c r="A763">
        <v>760</v>
      </c>
      <c r="B763" t="s">
        <v>1180</v>
      </c>
      <c r="C763" s="6">
        <v>46051</v>
      </c>
      <c r="D763" s="2" t="str">
        <f t="shared" si="22"/>
        <v>January</v>
      </c>
      <c r="E763" t="s">
        <v>512</v>
      </c>
      <c r="F763">
        <v>45</v>
      </c>
      <c r="G763" t="str">
        <f t="shared" si="23"/>
        <v>Adult</v>
      </c>
      <c r="H763" t="s">
        <v>22</v>
      </c>
      <c r="I763" t="s">
        <v>80</v>
      </c>
      <c r="J763" t="s">
        <v>50</v>
      </c>
      <c r="K763" t="s">
        <v>25</v>
      </c>
      <c r="L763" t="s">
        <v>26</v>
      </c>
      <c r="M763">
        <v>2</v>
      </c>
      <c r="N763">
        <v>12106</v>
      </c>
      <c r="O763">
        <v>24212</v>
      </c>
      <c r="P763" t="s">
        <v>61</v>
      </c>
      <c r="Q763">
        <v>6</v>
      </c>
      <c r="R763">
        <v>4</v>
      </c>
      <c r="S763" t="s">
        <v>28</v>
      </c>
    </row>
    <row r="764" spans="1:19" x14ac:dyDescent="0.3">
      <c r="A764">
        <v>761</v>
      </c>
      <c r="B764" t="s">
        <v>1181</v>
      </c>
      <c r="C764" s="6">
        <v>46052</v>
      </c>
      <c r="D764" s="2" t="str">
        <f t="shared" si="22"/>
        <v>January</v>
      </c>
      <c r="E764" t="s">
        <v>560</v>
      </c>
      <c r="F764">
        <v>26</v>
      </c>
      <c r="G764" t="str">
        <f t="shared" si="23"/>
        <v>Teenager</v>
      </c>
      <c r="H764" t="s">
        <v>22</v>
      </c>
      <c r="I764" t="s">
        <v>70</v>
      </c>
      <c r="J764" t="s">
        <v>50</v>
      </c>
      <c r="K764" t="s">
        <v>44</v>
      </c>
      <c r="L764" t="s">
        <v>224</v>
      </c>
      <c r="M764">
        <v>7</v>
      </c>
      <c r="N764">
        <v>46202</v>
      </c>
      <c r="O764">
        <v>323414</v>
      </c>
      <c r="P764" t="s">
        <v>61</v>
      </c>
      <c r="Q764">
        <v>8</v>
      </c>
      <c r="R764">
        <v>5</v>
      </c>
      <c r="S764" t="s">
        <v>46</v>
      </c>
    </row>
    <row r="765" spans="1:19" x14ac:dyDescent="0.3">
      <c r="A765">
        <v>762</v>
      </c>
      <c r="B765" t="s">
        <v>1182</v>
      </c>
      <c r="C765" s="6">
        <v>46053</v>
      </c>
      <c r="D765" s="2" t="str">
        <f t="shared" si="22"/>
        <v>January</v>
      </c>
      <c r="E765" t="s">
        <v>672</v>
      </c>
      <c r="F765">
        <v>31</v>
      </c>
      <c r="G765" t="str">
        <f t="shared" si="23"/>
        <v>Adult</v>
      </c>
      <c r="H765" t="s">
        <v>42</v>
      </c>
      <c r="I765" t="s">
        <v>37</v>
      </c>
      <c r="J765" t="s">
        <v>24</v>
      </c>
      <c r="K765" t="s">
        <v>33</v>
      </c>
      <c r="L765" t="s">
        <v>89</v>
      </c>
      <c r="M765">
        <v>1</v>
      </c>
      <c r="N765">
        <v>16238</v>
      </c>
      <c r="O765">
        <v>16238</v>
      </c>
      <c r="P765" t="s">
        <v>99</v>
      </c>
      <c r="Q765">
        <v>7</v>
      </c>
      <c r="R765">
        <v>4</v>
      </c>
      <c r="S765" t="s">
        <v>46</v>
      </c>
    </row>
    <row r="766" spans="1:19" x14ac:dyDescent="0.3">
      <c r="A766">
        <v>763</v>
      </c>
      <c r="B766" t="s">
        <v>1183</v>
      </c>
      <c r="C766" s="6">
        <v>46054</v>
      </c>
      <c r="D766" s="2" t="str">
        <f t="shared" si="22"/>
        <v>February</v>
      </c>
      <c r="E766" t="s">
        <v>418</v>
      </c>
      <c r="F766">
        <v>33</v>
      </c>
      <c r="G766" t="str">
        <f t="shared" si="23"/>
        <v>Adult</v>
      </c>
      <c r="H766" t="s">
        <v>22</v>
      </c>
      <c r="I766" t="s">
        <v>80</v>
      </c>
      <c r="J766" t="s">
        <v>50</v>
      </c>
      <c r="K766" t="s">
        <v>44</v>
      </c>
      <c r="L766" t="s">
        <v>91</v>
      </c>
      <c r="M766">
        <v>1</v>
      </c>
      <c r="N766">
        <v>5948</v>
      </c>
      <c r="O766">
        <v>5948</v>
      </c>
      <c r="P766" t="s">
        <v>53</v>
      </c>
      <c r="Q766">
        <v>7</v>
      </c>
      <c r="R766">
        <v>2</v>
      </c>
      <c r="S766" t="s">
        <v>28</v>
      </c>
    </row>
    <row r="767" spans="1:19" x14ac:dyDescent="0.3">
      <c r="A767">
        <v>764</v>
      </c>
      <c r="B767" t="s">
        <v>1184</v>
      </c>
      <c r="C767" s="6">
        <v>46055</v>
      </c>
      <c r="D767" s="2" t="str">
        <f t="shared" si="22"/>
        <v>February</v>
      </c>
      <c r="E767" t="s">
        <v>391</v>
      </c>
      <c r="F767">
        <v>45</v>
      </c>
      <c r="G767" t="str">
        <f t="shared" si="23"/>
        <v>Adult</v>
      </c>
      <c r="H767" t="s">
        <v>22</v>
      </c>
      <c r="I767" t="s">
        <v>102</v>
      </c>
      <c r="J767" t="s">
        <v>24</v>
      </c>
      <c r="K767" t="s">
        <v>44</v>
      </c>
      <c r="L767" t="s">
        <v>91</v>
      </c>
      <c r="M767">
        <v>3</v>
      </c>
      <c r="N767">
        <v>44405</v>
      </c>
      <c r="O767">
        <v>133215</v>
      </c>
      <c r="P767" t="s">
        <v>61</v>
      </c>
      <c r="Q767">
        <v>4</v>
      </c>
      <c r="R767">
        <v>2</v>
      </c>
      <c r="S767" t="s">
        <v>46</v>
      </c>
    </row>
    <row r="768" spans="1:19" x14ac:dyDescent="0.3">
      <c r="A768">
        <v>765</v>
      </c>
      <c r="B768" t="s">
        <v>1185</v>
      </c>
      <c r="C768" s="6">
        <v>46056</v>
      </c>
      <c r="D768" s="2" t="str">
        <f t="shared" si="22"/>
        <v>February</v>
      </c>
      <c r="E768" t="s">
        <v>603</v>
      </c>
      <c r="F768">
        <v>59</v>
      </c>
      <c r="G768" t="str">
        <f t="shared" si="23"/>
        <v>Senior</v>
      </c>
      <c r="H768" t="s">
        <v>42</v>
      </c>
      <c r="I768" t="s">
        <v>70</v>
      </c>
      <c r="J768" t="s">
        <v>65</v>
      </c>
      <c r="K768" t="s">
        <v>44</v>
      </c>
      <c r="L768" t="s">
        <v>121</v>
      </c>
      <c r="M768">
        <v>10</v>
      </c>
      <c r="N768">
        <v>47023</v>
      </c>
      <c r="O768">
        <v>470230</v>
      </c>
      <c r="P768" t="s">
        <v>53</v>
      </c>
      <c r="Q768">
        <v>9</v>
      </c>
      <c r="R768">
        <v>5</v>
      </c>
      <c r="S768" t="s">
        <v>28</v>
      </c>
    </row>
    <row r="769" spans="1:19" x14ac:dyDescent="0.3">
      <c r="A769">
        <v>766</v>
      </c>
      <c r="B769" t="s">
        <v>1186</v>
      </c>
      <c r="C769" s="6">
        <v>46057</v>
      </c>
      <c r="D769" s="2" t="str">
        <f t="shared" si="22"/>
        <v>February</v>
      </c>
      <c r="E769" t="s">
        <v>529</v>
      </c>
      <c r="F769">
        <v>44</v>
      </c>
      <c r="G769" t="str">
        <f t="shared" si="23"/>
        <v>Adult</v>
      </c>
      <c r="H769" t="s">
        <v>42</v>
      </c>
      <c r="I769" t="s">
        <v>102</v>
      </c>
      <c r="J769" t="s">
        <v>32</v>
      </c>
      <c r="K769" t="s">
        <v>44</v>
      </c>
      <c r="L769" t="s">
        <v>121</v>
      </c>
      <c r="M769">
        <v>3</v>
      </c>
      <c r="N769">
        <v>2132</v>
      </c>
      <c r="O769">
        <v>6396</v>
      </c>
      <c r="P769" t="s">
        <v>27</v>
      </c>
      <c r="Q769">
        <v>2</v>
      </c>
      <c r="R769">
        <v>3</v>
      </c>
      <c r="S769" t="s">
        <v>46</v>
      </c>
    </row>
    <row r="770" spans="1:19" x14ac:dyDescent="0.3">
      <c r="A770">
        <v>767</v>
      </c>
      <c r="B770" t="s">
        <v>1187</v>
      </c>
      <c r="C770" s="6">
        <v>46058</v>
      </c>
      <c r="D770" s="2" t="str">
        <f t="shared" si="22"/>
        <v>February</v>
      </c>
      <c r="E770" t="s">
        <v>479</v>
      </c>
      <c r="F770">
        <v>54</v>
      </c>
      <c r="G770" t="str">
        <f t="shared" si="23"/>
        <v>Senior</v>
      </c>
      <c r="H770" t="s">
        <v>22</v>
      </c>
      <c r="I770" t="s">
        <v>80</v>
      </c>
      <c r="J770" t="s">
        <v>32</v>
      </c>
      <c r="K770" t="s">
        <v>44</v>
      </c>
      <c r="L770" t="s">
        <v>224</v>
      </c>
      <c r="M770">
        <v>7</v>
      </c>
      <c r="N770">
        <v>14755</v>
      </c>
      <c r="O770">
        <v>103285</v>
      </c>
      <c r="P770" t="s">
        <v>61</v>
      </c>
      <c r="Q770">
        <v>3</v>
      </c>
      <c r="R770">
        <v>1</v>
      </c>
      <c r="S770" t="s">
        <v>28</v>
      </c>
    </row>
    <row r="771" spans="1:19" x14ac:dyDescent="0.3">
      <c r="A771">
        <v>768</v>
      </c>
      <c r="B771" t="s">
        <v>1188</v>
      </c>
      <c r="C771" s="6">
        <v>46059</v>
      </c>
      <c r="D771" s="2" t="str">
        <f t="shared" si="22"/>
        <v>February</v>
      </c>
      <c r="E771" t="s">
        <v>166</v>
      </c>
      <c r="F771">
        <v>41</v>
      </c>
      <c r="G771" t="str">
        <f t="shared" si="23"/>
        <v>Adult</v>
      </c>
      <c r="H771" t="s">
        <v>42</v>
      </c>
      <c r="I771" t="s">
        <v>31</v>
      </c>
      <c r="J771" t="s">
        <v>24</v>
      </c>
      <c r="K771" t="s">
        <v>44</v>
      </c>
      <c r="L771" t="s">
        <v>121</v>
      </c>
      <c r="M771">
        <v>3</v>
      </c>
      <c r="N771">
        <v>22149</v>
      </c>
      <c r="O771">
        <v>66447</v>
      </c>
      <c r="P771" t="s">
        <v>116</v>
      </c>
      <c r="Q771">
        <v>9</v>
      </c>
      <c r="R771">
        <v>1</v>
      </c>
      <c r="S771" t="s">
        <v>28</v>
      </c>
    </row>
    <row r="772" spans="1:19" x14ac:dyDescent="0.3">
      <c r="A772">
        <v>769</v>
      </c>
      <c r="B772" t="s">
        <v>1189</v>
      </c>
      <c r="C772" s="6">
        <v>46060</v>
      </c>
      <c r="D772" s="2" t="str">
        <f t="shared" ref="D772:D835" si="24">TEXT(C772,"mmmm")</f>
        <v>February</v>
      </c>
      <c r="E772" t="s">
        <v>1190</v>
      </c>
      <c r="F772">
        <v>44</v>
      </c>
      <c r="G772" t="str">
        <f t="shared" ref="G772:G835" si="25">IF(F772&gt;=50,"Senior",IF(F772&gt;=30,"Adult","Teenager"))</f>
        <v>Adult</v>
      </c>
      <c r="H772" t="s">
        <v>42</v>
      </c>
      <c r="I772" t="s">
        <v>64</v>
      </c>
      <c r="J772" t="s">
        <v>65</v>
      </c>
      <c r="K772" t="s">
        <v>38</v>
      </c>
      <c r="L772" t="s">
        <v>135</v>
      </c>
      <c r="M772">
        <v>1</v>
      </c>
      <c r="N772">
        <v>48422</v>
      </c>
      <c r="O772">
        <v>48422</v>
      </c>
      <c r="P772" t="s">
        <v>53</v>
      </c>
      <c r="Q772">
        <v>8</v>
      </c>
      <c r="R772">
        <v>2</v>
      </c>
      <c r="S772" t="s">
        <v>28</v>
      </c>
    </row>
    <row r="773" spans="1:19" x14ac:dyDescent="0.3">
      <c r="A773">
        <v>770</v>
      </c>
      <c r="B773" t="s">
        <v>1191</v>
      </c>
      <c r="C773" s="6">
        <v>46061</v>
      </c>
      <c r="D773" s="2" t="str">
        <f t="shared" si="24"/>
        <v>February</v>
      </c>
      <c r="E773" t="s">
        <v>854</v>
      </c>
      <c r="F773">
        <v>43</v>
      </c>
      <c r="G773" t="str">
        <f t="shared" si="25"/>
        <v>Adult</v>
      </c>
      <c r="H773" t="s">
        <v>42</v>
      </c>
      <c r="I773" t="s">
        <v>37</v>
      </c>
      <c r="J773" t="s">
        <v>65</v>
      </c>
      <c r="K773" t="s">
        <v>33</v>
      </c>
      <c r="L773" t="s">
        <v>34</v>
      </c>
      <c r="M773">
        <v>5</v>
      </c>
      <c r="N773">
        <v>38030</v>
      </c>
      <c r="O773">
        <v>190150</v>
      </c>
      <c r="P773" t="s">
        <v>99</v>
      </c>
      <c r="Q773">
        <v>3</v>
      </c>
      <c r="R773">
        <v>4</v>
      </c>
      <c r="S773" t="s">
        <v>46</v>
      </c>
    </row>
    <row r="774" spans="1:19" x14ac:dyDescent="0.3">
      <c r="A774">
        <v>771</v>
      </c>
      <c r="B774" t="s">
        <v>1192</v>
      </c>
      <c r="C774" s="6">
        <v>46062</v>
      </c>
      <c r="D774" s="2" t="str">
        <f t="shared" si="24"/>
        <v>February</v>
      </c>
      <c r="E774" t="s">
        <v>1193</v>
      </c>
      <c r="F774">
        <v>41</v>
      </c>
      <c r="G774" t="str">
        <f t="shared" si="25"/>
        <v>Adult</v>
      </c>
      <c r="H774" t="s">
        <v>22</v>
      </c>
      <c r="I774" t="s">
        <v>70</v>
      </c>
      <c r="J774" t="s">
        <v>24</v>
      </c>
      <c r="K774" t="s">
        <v>33</v>
      </c>
      <c r="L774" t="s">
        <v>173</v>
      </c>
      <c r="M774">
        <v>8</v>
      </c>
      <c r="N774">
        <v>18014</v>
      </c>
      <c r="O774">
        <v>144112</v>
      </c>
      <c r="P774" t="s">
        <v>27</v>
      </c>
      <c r="Q774">
        <v>8</v>
      </c>
      <c r="R774">
        <v>4</v>
      </c>
      <c r="S774" t="s">
        <v>46</v>
      </c>
    </row>
    <row r="775" spans="1:19" x14ac:dyDescent="0.3">
      <c r="A775">
        <v>772</v>
      </c>
      <c r="B775" t="s">
        <v>1194</v>
      </c>
      <c r="C775" s="6">
        <v>46063</v>
      </c>
      <c r="D775" s="2" t="str">
        <f t="shared" si="24"/>
        <v>February</v>
      </c>
      <c r="E775" t="s">
        <v>1195</v>
      </c>
      <c r="F775">
        <v>56</v>
      </c>
      <c r="G775" t="str">
        <f t="shared" si="25"/>
        <v>Senior</v>
      </c>
      <c r="H775" t="s">
        <v>42</v>
      </c>
      <c r="I775" t="s">
        <v>70</v>
      </c>
      <c r="J775" t="s">
        <v>65</v>
      </c>
      <c r="K775" t="s">
        <v>25</v>
      </c>
      <c r="L775" t="s">
        <v>189</v>
      </c>
      <c r="M775">
        <v>9</v>
      </c>
      <c r="N775">
        <v>237</v>
      </c>
      <c r="O775">
        <v>2133</v>
      </c>
      <c r="P775" t="s">
        <v>61</v>
      </c>
      <c r="Q775">
        <v>6</v>
      </c>
      <c r="R775">
        <v>4</v>
      </c>
      <c r="S775" t="s">
        <v>46</v>
      </c>
    </row>
    <row r="776" spans="1:19" x14ac:dyDescent="0.3">
      <c r="A776">
        <v>773</v>
      </c>
      <c r="B776" t="s">
        <v>1196</v>
      </c>
      <c r="C776" s="6">
        <v>46064</v>
      </c>
      <c r="D776" s="2" t="str">
        <f t="shared" si="24"/>
        <v>February</v>
      </c>
      <c r="E776" t="s">
        <v>595</v>
      </c>
      <c r="F776">
        <v>60</v>
      </c>
      <c r="G776" t="str">
        <f t="shared" si="25"/>
        <v>Senior</v>
      </c>
      <c r="H776" t="s">
        <v>42</v>
      </c>
      <c r="I776" t="s">
        <v>43</v>
      </c>
      <c r="J776" t="s">
        <v>24</v>
      </c>
      <c r="K776" t="s">
        <v>25</v>
      </c>
      <c r="L776" t="s">
        <v>189</v>
      </c>
      <c r="M776">
        <v>7</v>
      </c>
      <c r="N776">
        <v>42573</v>
      </c>
      <c r="O776">
        <v>298011</v>
      </c>
      <c r="P776" t="s">
        <v>99</v>
      </c>
      <c r="Q776">
        <v>3</v>
      </c>
      <c r="R776">
        <v>1</v>
      </c>
      <c r="S776" t="s">
        <v>28</v>
      </c>
    </row>
    <row r="777" spans="1:19" x14ac:dyDescent="0.3">
      <c r="A777">
        <v>774</v>
      </c>
      <c r="B777" t="s">
        <v>1197</v>
      </c>
      <c r="C777" s="6">
        <v>46065</v>
      </c>
      <c r="D777" s="2" t="str">
        <f t="shared" si="24"/>
        <v>February</v>
      </c>
      <c r="E777" t="s">
        <v>912</v>
      </c>
      <c r="F777">
        <v>57</v>
      </c>
      <c r="G777" t="str">
        <f t="shared" si="25"/>
        <v>Senior</v>
      </c>
      <c r="H777" t="s">
        <v>22</v>
      </c>
      <c r="I777" t="s">
        <v>43</v>
      </c>
      <c r="J777" t="s">
        <v>24</v>
      </c>
      <c r="K777" t="s">
        <v>51</v>
      </c>
      <c r="L777" t="s">
        <v>86</v>
      </c>
      <c r="M777">
        <v>9</v>
      </c>
      <c r="N777">
        <v>1700</v>
      </c>
      <c r="O777">
        <v>15300</v>
      </c>
      <c r="P777" t="s">
        <v>116</v>
      </c>
      <c r="Q777">
        <v>1</v>
      </c>
      <c r="R777">
        <v>2</v>
      </c>
      <c r="S777" t="s">
        <v>28</v>
      </c>
    </row>
    <row r="778" spans="1:19" x14ac:dyDescent="0.3">
      <c r="A778">
        <v>775</v>
      </c>
      <c r="B778" t="s">
        <v>1198</v>
      </c>
      <c r="C778" s="6">
        <v>46066</v>
      </c>
      <c r="D778" s="2" t="str">
        <f t="shared" si="24"/>
        <v>February</v>
      </c>
      <c r="E778" t="s">
        <v>172</v>
      </c>
      <c r="F778">
        <v>46</v>
      </c>
      <c r="G778" t="str">
        <f t="shared" si="25"/>
        <v>Adult</v>
      </c>
      <c r="H778" t="s">
        <v>42</v>
      </c>
      <c r="I778" t="s">
        <v>80</v>
      </c>
      <c r="J778" t="s">
        <v>65</v>
      </c>
      <c r="K778" t="s">
        <v>44</v>
      </c>
      <c r="L778" t="s">
        <v>91</v>
      </c>
      <c r="M778">
        <v>2</v>
      </c>
      <c r="N778">
        <v>49021</v>
      </c>
      <c r="O778">
        <v>98042</v>
      </c>
      <c r="P778" t="s">
        <v>53</v>
      </c>
      <c r="Q778">
        <v>9</v>
      </c>
      <c r="R778">
        <v>3</v>
      </c>
      <c r="S778" t="s">
        <v>28</v>
      </c>
    </row>
    <row r="779" spans="1:19" x14ac:dyDescent="0.3">
      <c r="A779">
        <v>776</v>
      </c>
      <c r="B779" t="s">
        <v>1199</v>
      </c>
      <c r="C779" s="6">
        <v>46067</v>
      </c>
      <c r="D779" s="2" t="str">
        <f t="shared" si="24"/>
        <v>February</v>
      </c>
      <c r="E779" t="s">
        <v>239</v>
      </c>
      <c r="F779">
        <v>33</v>
      </c>
      <c r="G779" t="str">
        <f t="shared" si="25"/>
        <v>Adult</v>
      </c>
      <c r="H779" t="s">
        <v>42</v>
      </c>
      <c r="I779" t="s">
        <v>23</v>
      </c>
      <c r="J779" t="s">
        <v>50</v>
      </c>
      <c r="K779" t="s">
        <v>38</v>
      </c>
      <c r="L779" t="s">
        <v>81</v>
      </c>
      <c r="M779">
        <v>6</v>
      </c>
      <c r="N779">
        <v>15965</v>
      </c>
      <c r="O779">
        <v>95790</v>
      </c>
      <c r="P779" t="s">
        <v>61</v>
      </c>
      <c r="Q779">
        <v>7</v>
      </c>
      <c r="R779">
        <v>2</v>
      </c>
      <c r="S779" t="s">
        <v>46</v>
      </c>
    </row>
    <row r="780" spans="1:19" x14ac:dyDescent="0.3">
      <c r="A780">
        <v>777</v>
      </c>
      <c r="B780" t="s">
        <v>1200</v>
      </c>
      <c r="C780" s="6">
        <v>46068</v>
      </c>
      <c r="D780" s="2" t="str">
        <f t="shared" si="24"/>
        <v>February</v>
      </c>
      <c r="E780" t="s">
        <v>1032</v>
      </c>
      <c r="F780">
        <v>38</v>
      </c>
      <c r="G780" t="str">
        <f t="shared" si="25"/>
        <v>Adult</v>
      </c>
      <c r="H780" t="s">
        <v>22</v>
      </c>
      <c r="I780" t="s">
        <v>23</v>
      </c>
      <c r="J780" t="s">
        <v>65</v>
      </c>
      <c r="K780" t="s">
        <v>44</v>
      </c>
      <c r="L780" t="s">
        <v>45</v>
      </c>
      <c r="M780">
        <v>1</v>
      </c>
      <c r="N780">
        <v>26309</v>
      </c>
      <c r="O780">
        <v>26309</v>
      </c>
      <c r="P780" t="s">
        <v>99</v>
      </c>
      <c r="Q780">
        <v>3</v>
      </c>
      <c r="R780">
        <v>1</v>
      </c>
      <c r="S780" t="s">
        <v>46</v>
      </c>
    </row>
    <row r="781" spans="1:19" x14ac:dyDescent="0.3">
      <c r="A781">
        <v>778</v>
      </c>
      <c r="B781" t="s">
        <v>1201</v>
      </c>
      <c r="C781" s="6">
        <v>46069</v>
      </c>
      <c r="D781" s="2" t="str">
        <f t="shared" si="24"/>
        <v>February</v>
      </c>
      <c r="E781" t="s">
        <v>141</v>
      </c>
      <c r="F781">
        <v>36</v>
      </c>
      <c r="G781" t="str">
        <f t="shared" si="25"/>
        <v>Adult</v>
      </c>
      <c r="H781" t="s">
        <v>22</v>
      </c>
      <c r="I781" t="s">
        <v>64</v>
      </c>
      <c r="J781" t="s">
        <v>65</v>
      </c>
      <c r="K781" t="s">
        <v>25</v>
      </c>
      <c r="L781" t="s">
        <v>94</v>
      </c>
      <c r="M781">
        <v>4</v>
      </c>
      <c r="N781">
        <v>46101</v>
      </c>
      <c r="O781">
        <v>184404</v>
      </c>
      <c r="P781" t="s">
        <v>99</v>
      </c>
      <c r="Q781">
        <v>3</v>
      </c>
      <c r="R781">
        <v>4</v>
      </c>
      <c r="S781" t="s">
        <v>28</v>
      </c>
    </row>
    <row r="782" spans="1:19" x14ac:dyDescent="0.3">
      <c r="A782">
        <v>779</v>
      </c>
      <c r="B782" t="s">
        <v>1202</v>
      </c>
      <c r="C782" s="6">
        <v>46070</v>
      </c>
      <c r="D782" s="2" t="str">
        <f t="shared" si="24"/>
        <v>February</v>
      </c>
      <c r="E782" t="s">
        <v>385</v>
      </c>
      <c r="F782">
        <v>48</v>
      </c>
      <c r="G782" t="str">
        <f t="shared" si="25"/>
        <v>Adult</v>
      </c>
      <c r="H782" t="s">
        <v>22</v>
      </c>
      <c r="I782" t="s">
        <v>43</v>
      </c>
      <c r="J782" t="s">
        <v>65</v>
      </c>
      <c r="K782" t="s">
        <v>51</v>
      </c>
      <c r="L782" t="s">
        <v>74</v>
      </c>
      <c r="M782">
        <v>3</v>
      </c>
      <c r="N782">
        <v>725</v>
      </c>
      <c r="O782">
        <v>2175</v>
      </c>
      <c r="P782" t="s">
        <v>27</v>
      </c>
      <c r="Q782">
        <v>8</v>
      </c>
      <c r="R782">
        <v>3</v>
      </c>
      <c r="S782" t="s">
        <v>28</v>
      </c>
    </row>
    <row r="783" spans="1:19" x14ac:dyDescent="0.3">
      <c r="A783">
        <v>780</v>
      </c>
      <c r="B783" t="s">
        <v>1203</v>
      </c>
      <c r="C783" s="6">
        <v>46071</v>
      </c>
      <c r="D783" s="2" t="str">
        <f t="shared" si="24"/>
        <v>February</v>
      </c>
      <c r="E783" t="s">
        <v>354</v>
      </c>
      <c r="F783">
        <v>34</v>
      </c>
      <c r="G783" t="str">
        <f t="shared" si="25"/>
        <v>Adult</v>
      </c>
      <c r="H783" t="s">
        <v>42</v>
      </c>
      <c r="I783" t="s">
        <v>43</v>
      </c>
      <c r="J783" t="s">
        <v>50</v>
      </c>
      <c r="K783" t="s">
        <v>38</v>
      </c>
      <c r="L783" t="s">
        <v>71</v>
      </c>
      <c r="M783">
        <v>10</v>
      </c>
      <c r="N783">
        <v>31607</v>
      </c>
      <c r="O783">
        <v>316070</v>
      </c>
      <c r="P783" t="s">
        <v>61</v>
      </c>
      <c r="Q783">
        <v>7</v>
      </c>
      <c r="R783">
        <v>5</v>
      </c>
      <c r="S783" t="s">
        <v>28</v>
      </c>
    </row>
    <row r="784" spans="1:19" x14ac:dyDescent="0.3">
      <c r="A784">
        <v>781</v>
      </c>
      <c r="B784" t="s">
        <v>1204</v>
      </c>
      <c r="C784" s="6">
        <v>46072</v>
      </c>
      <c r="D784" s="2" t="str">
        <f t="shared" si="24"/>
        <v>February</v>
      </c>
      <c r="E784" t="s">
        <v>657</v>
      </c>
      <c r="F784">
        <v>33</v>
      </c>
      <c r="G784" t="str">
        <f t="shared" si="25"/>
        <v>Adult</v>
      </c>
      <c r="H784" t="s">
        <v>22</v>
      </c>
      <c r="I784" t="s">
        <v>80</v>
      </c>
      <c r="J784" t="s">
        <v>50</v>
      </c>
      <c r="K784" t="s">
        <v>25</v>
      </c>
      <c r="L784" t="s">
        <v>77</v>
      </c>
      <c r="M784">
        <v>10</v>
      </c>
      <c r="N784">
        <v>36332</v>
      </c>
      <c r="O784">
        <v>363320</v>
      </c>
      <c r="P784" t="s">
        <v>53</v>
      </c>
      <c r="Q784">
        <v>6</v>
      </c>
      <c r="R784">
        <v>2</v>
      </c>
      <c r="S784" t="s">
        <v>28</v>
      </c>
    </row>
    <row r="785" spans="1:19" x14ac:dyDescent="0.3">
      <c r="A785">
        <v>782</v>
      </c>
      <c r="B785" t="s">
        <v>1205</v>
      </c>
      <c r="C785" s="6">
        <v>46073</v>
      </c>
      <c r="D785" s="2" t="str">
        <f t="shared" si="24"/>
        <v>February</v>
      </c>
      <c r="E785" t="s">
        <v>442</v>
      </c>
      <c r="F785">
        <v>24</v>
      </c>
      <c r="G785" t="str">
        <f t="shared" si="25"/>
        <v>Teenager</v>
      </c>
      <c r="H785" t="s">
        <v>42</v>
      </c>
      <c r="I785" t="s">
        <v>102</v>
      </c>
      <c r="J785" t="s">
        <v>32</v>
      </c>
      <c r="K785" t="s">
        <v>33</v>
      </c>
      <c r="L785" t="s">
        <v>89</v>
      </c>
      <c r="M785">
        <v>3</v>
      </c>
      <c r="N785">
        <v>39583</v>
      </c>
      <c r="O785">
        <v>118749</v>
      </c>
      <c r="P785" t="s">
        <v>27</v>
      </c>
      <c r="Q785">
        <v>4</v>
      </c>
      <c r="R785">
        <v>3</v>
      </c>
      <c r="S785" t="s">
        <v>46</v>
      </c>
    </row>
    <row r="786" spans="1:19" x14ac:dyDescent="0.3">
      <c r="A786">
        <v>783</v>
      </c>
      <c r="B786" t="s">
        <v>1206</v>
      </c>
      <c r="C786" s="6">
        <v>46074</v>
      </c>
      <c r="D786" s="2" t="str">
        <f t="shared" si="24"/>
        <v>February</v>
      </c>
      <c r="E786" t="s">
        <v>909</v>
      </c>
      <c r="F786">
        <v>32</v>
      </c>
      <c r="G786" t="str">
        <f t="shared" si="25"/>
        <v>Adult</v>
      </c>
      <c r="H786" t="s">
        <v>42</v>
      </c>
      <c r="I786" t="s">
        <v>120</v>
      </c>
      <c r="J786" t="s">
        <v>24</v>
      </c>
      <c r="K786" t="s">
        <v>44</v>
      </c>
      <c r="L786" t="s">
        <v>45</v>
      </c>
      <c r="M786">
        <v>7</v>
      </c>
      <c r="N786">
        <v>1696</v>
      </c>
      <c r="O786">
        <v>11872</v>
      </c>
      <c r="P786" t="s">
        <v>53</v>
      </c>
      <c r="Q786">
        <v>10</v>
      </c>
      <c r="R786">
        <v>2</v>
      </c>
      <c r="S786" t="s">
        <v>46</v>
      </c>
    </row>
    <row r="787" spans="1:19" x14ac:dyDescent="0.3">
      <c r="A787">
        <v>784</v>
      </c>
      <c r="B787" t="s">
        <v>1207</v>
      </c>
      <c r="C787" s="6">
        <v>46075</v>
      </c>
      <c r="D787" s="2" t="str">
        <f t="shared" si="24"/>
        <v>February</v>
      </c>
      <c r="E787" t="s">
        <v>657</v>
      </c>
      <c r="F787">
        <v>35</v>
      </c>
      <c r="G787" t="str">
        <f t="shared" si="25"/>
        <v>Adult</v>
      </c>
      <c r="H787" t="s">
        <v>42</v>
      </c>
      <c r="I787" t="s">
        <v>102</v>
      </c>
      <c r="J787" t="s">
        <v>32</v>
      </c>
      <c r="K787" t="s">
        <v>38</v>
      </c>
      <c r="L787" t="s">
        <v>81</v>
      </c>
      <c r="M787">
        <v>2</v>
      </c>
      <c r="N787">
        <v>38898</v>
      </c>
      <c r="O787">
        <v>77796</v>
      </c>
      <c r="P787" t="s">
        <v>27</v>
      </c>
      <c r="Q787">
        <v>1</v>
      </c>
      <c r="R787">
        <v>1</v>
      </c>
      <c r="S787" s="3" t="s">
        <v>46</v>
      </c>
    </row>
    <row r="788" spans="1:19" x14ac:dyDescent="0.3">
      <c r="A788">
        <v>785</v>
      </c>
      <c r="B788" t="s">
        <v>1208</v>
      </c>
      <c r="C788" s="6">
        <v>46076</v>
      </c>
      <c r="D788" s="2" t="str">
        <f t="shared" si="24"/>
        <v>February</v>
      </c>
      <c r="E788" t="s">
        <v>1209</v>
      </c>
      <c r="F788">
        <v>55</v>
      </c>
      <c r="G788" t="str">
        <f t="shared" si="25"/>
        <v>Senior</v>
      </c>
      <c r="H788" t="s">
        <v>42</v>
      </c>
      <c r="I788" t="s">
        <v>43</v>
      </c>
      <c r="J788" t="s">
        <v>32</v>
      </c>
      <c r="K788" t="s">
        <v>25</v>
      </c>
      <c r="L788" t="s">
        <v>26</v>
      </c>
      <c r="M788">
        <v>5</v>
      </c>
      <c r="N788">
        <v>20844</v>
      </c>
      <c r="O788">
        <v>104220</v>
      </c>
      <c r="P788" t="s">
        <v>27</v>
      </c>
      <c r="Q788">
        <v>6</v>
      </c>
      <c r="R788">
        <v>3</v>
      </c>
      <c r="S788" t="s">
        <v>28</v>
      </c>
    </row>
    <row r="789" spans="1:19" x14ac:dyDescent="0.3">
      <c r="A789">
        <v>786</v>
      </c>
      <c r="B789" t="s">
        <v>1210</v>
      </c>
      <c r="C789" s="6">
        <v>46077</v>
      </c>
      <c r="D789" s="2" t="str">
        <f t="shared" si="24"/>
        <v>February</v>
      </c>
      <c r="E789" t="s">
        <v>409</v>
      </c>
      <c r="F789">
        <v>30</v>
      </c>
      <c r="G789" t="str">
        <f t="shared" si="25"/>
        <v>Adult</v>
      </c>
      <c r="H789" t="s">
        <v>42</v>
      </c>
      <c r="I789" t="s">
        <v>23</v>
      </c>
      <c r="J789" t="s">
        <v>65</v>
      </c>
      <c r="K789" t="s">
        <v>44</v>
      </c>
      <c r="L789" t="s">
        <v>224</v>
      </c>
      <c r="M789">
        <v>8</v>
      </c>
      <c r="N789">
        <v>44182</v>
      </c>
      <c r="O789">
        <v>353456</v>
      </c>
      <c r="P789" t="s">
        <v>99</v>
      </c>
      <c r="Q789">
        <v>5</v>
      </c>
      <c r="R789">
        <v>2</v>
      </c>
      <c r="S789" t="s">
        <v>46</v>
      </c>
    </row>
    <row r="790" spans="1:19" x14ac:dyDescent="0.3">
      <c r="A790">
        <v>787</v>
      </c>
      <c r="B790" t="s">
        <v>1211</v>
      </c>
      <c r="C790" s="6">
        <v>46078</v>
      </c>
      <c r="D790" s="2" t="str">
        <f t="shared" si="24"/>
        <v>February</v>
      </c>
      <c r="E790" t="s">
        <v>1212</v>
      </c>
      <c r="F790">
        <v>39</v>
      </c>
      <c r="G790" t="str">
        <f t="shared" si="25"/>
        <v>Adult</v>
      </c>
      <c r="H790" t="s">
        <v>22</v>
      </c>
      <c r="I790" t="s">
        <v>70</v>
      </c>
      <c r="J790" t="s">
        <v>32</v>
      </c>
      <c r="K790" t="s">
        <v>51</v>
      </c>
      <c r="L790" t="s">
        <v>74</v>
      </c>
      <c r="M790">
        <v>2</v>
      </c>
      <c r="N790">
        <v>822</v>
      </c>
      <c r="O790">
        <v>1644</v>
      </c>
      <c r="P790" t="s">
        <v>116</v>
      </c>
      <c r="Q790">
        <v>7</v>
      </c>
      <c r="R790">
        <v>1</v>
      </c>
      <c r="S790" t="s">
        <v>46</v>
      </c>
    </row>
    <row r="791" spans="1:19" x14ac:dyDescent="0.3">
      <c r="A791">
        <v>788</v>
      </c>
      <c r="B791" t="s">
        <v>1213</v>
      </c>
      <c r="C791" s="6">
        <v>46079</v>
      </c>
      <c r="D791" s="2" t="str">
        <f t="shared" si="24"/>
        <v>February</v>
      </c>
      <c r="E791" t="s">
        <v>914</v>
      </c>
      <c r="F791">
        <v>48</v>
      </c>
      <c r="G791" t="str">
        <f t="shared" si="25"/>
        <v>Adult</v>
      </c>
      <c r="H791" t="s">
        <v>22</v>
      </c>
      <c r="I791" t="s">
        <v>70</v>
      </c>
      <c r="J791" t="s">
        <v>24</v>
      </c>
      <c r="K791" t="s">
        <v>33</v>
      </c>
      <c r="L791" t="s">
        <v>160</v>
      </c>
      <c r="M791">
        <v>4</v>
      </c>
      <c r="N791">
        <v>21885</v>
      </c>
      <c r="O791">
        <v>87540</v>
      </c>
      <c r="P791" t="s">
        <v>53</v>
      </c>
      <c r="Q791">
        <v>1</v>
      </c>
      <c r="R791">
        <v>5</v>
      </c>
      <c r="S791" t="s">
        <v>46</v>
      </c>
    </row>
    <row r="792" spans="1:19" x14ac:dyDescent="0.3">
      <c r="A792">
        <v>789</v>
      </c>
      <c r="B792" t="s">
        <v>1214</v>
      </c>
      <c r="C792" s="6">
        <v>46080</v>
      </c>
      <c r="D792" s="2" t="str">
        <f t="shared" si="24"/>
        <v>February</v>
      </c>
      <c r="E792" t="s">
        <v>108</v>
      </c>
      <c r="F792">
        <v>45</v>
      </c>
      <c r="G792" t="str">
        <f t="shared" si="25"/>
        <v>Adult</v>
      </c>
      <c r="H792" t="s">
        <v>22</v>
      </c>
      <c r="I792" t="s">
        <v>23</v>
      </c>
      <c r="J792" t="s">
        <v>24</v>
      </c>
      <c r="K792" t="s">
        <v>44</v>
      </c>
      <c r="L792" t="s">
        <v>91</v>
      </c>
      <c r="M792">
        <v>8</v>
      </c>
      <c r="N792">
        <v>23889</v>
      </c>
      <c r="O792">
        <v>191112</v>
      </c>
      <c r="P792" t="s">
        <v>61</v>
      </c>
      <c r="Q792">
        <v>1</v>
      </c>
      <c r="R792">
        <v>2</v>
      </c>
      <c r="S792" t="s">
        <v>46</v>
      </c>
    </row>
    <row r="793" spans="1:19" x14ac:dyDescent="0.3">
      <c r="A793">
        <v>790</v>
      </c>
      <c r="B793" t="s">
        <v>1215</v>
      </c>
      <c r="C793" s="6">
        <v>46081</v>
      </c>
      <c r="D793" s="2" t="str">
        <f t="shared" si="24"/>
        <v>February</v>
      </c>
      <c r="E793" t="s">
        <v>934</v>
      </c>
      <c r="F793">
        <v>55</v>
      </c>
      <c r="G793" t="str">
        <f t="shared" si="25"/>
        <v>Senior</v>
      </c>
      <c r="H793" t="s">
        <v>42</v>
      </c>
      <c r="I793" t="s">
        <v>31</v>
      </c>
      <c r="J793" t="s">
        <v>32</v>
      </c>
      <c r="K793" t="s">
        <v>33</v>
      </c>
      <c r="L793" t="s">
        <v>34</v>
      </c>
      <c r="M793">
        <v>7</v>
      </c>
      <c r="N793">
        <v>16772</v>
      </c>
      <c r="O793">
        <v>117404</v>
      </c>
      <c r="P793" t="s">
        <v>53</v>
      </c>
      <c r="Q793">
        <v>9</v>
      </c>
      <c r="R793">
        <v>5</v>
      </c>
      <c r="S793" t="s">
        <v>28</v>
      </c>
    </row>
    <row r="794" spans="1:19" x14ac:dyDescent="0.3">
      <c r="A794">
        <v>791</v>
      </c>
      <c r="B794" t="s">
        <v>1216</v>
      </c>
      <c r="C794" s="6">
        <v>46082</v>
      </c>
      <c r="D794" s="2" t="str">
        <f t="shared" si="24"/>
        <v>March</v>
      </c>
      <c r="E794" t="s">
        <v>710</v>
      </c>
      <c r="F794">
        <v>27</v>
      </c>
      <c r="G794" t="str">
        <f t="shared" si="25"/>
        <v>Teenager</v>
      </c>
      <c r="H794" t="s">
        <v>42</v>
      </c>
      <c r="I794" t="s">
        <v>37</v>
      </c>
      <c r="J794" t="s">
        <v>32</v>
      </c>
      <c r="K794" t="s">
        <v>25</v>
      </c>
      <c r="L794" t="s">
        <v>77</v>
      </c>
      <c r="M794">
        <v>10</v>
      </c>
      <c r="N794">
        <v>16581</v>
      </c>
      <c r="O794">
        <v>165810</v>
      </c>
      <c r="P794" t="s">
        <v>99</v>
      </c>
      <c r="Q794">
        <v>3</v>
      </c>
      <c r="R794">
        <v>4</v>
      </c>
      <c r="S794" t="s">
        <v>28</v>
      </c>
    </row>
    <row r="795" spans="1:19" x14ac:dyDescent="0.3">
      <c r="A795">
        <v>792</v>
      </c>
      <c r="B795" t="s">
        <v>1217</v>
      </c>
      <c r="C795" s="6">
        <v>46083</v>
      </c>
      <c r="D795" s="2" t="str">
        <f t="shared" si="24"/>
        <v>March</v>
      </c>
      <c r="E795" t="s">
        <v>358</v>
      </c>
      <c r="F795">
        <v>51</v>
      </c>
      <c r="G795" t="str">
        <f t="shared" si="25"/>
        <v>Senior</v>
      </c>
      <c r="H795" t="s">
        <v>42</v>
      </c>
      <c r="I795" t="s">
        <v>23</v>
      </c>
      <c r="J795" t="s">
        <v>50</v>
      </c>
      <c r="K795" t="s">
        <v>33</v>
      </c>
      <c r="L795" t="s">
        <v>153</v>
      </c>
      <c r="M795">
        <v>8</v>
      </c>
      <c r="N795">
        <v>19886</v>
      </c>
      <c r="O795">
        <v>159088</v>
      </c>
      <c r="P795" t="s">
        <v>116</v>
      </c>
      <c r="Q795">
        <v>3</v>
      </c>
      <c r="R795">
        <v>3</v>
      </c>
      <c r="S795" t="s">
        <v>46</v>
      </c>
    </row>
    <row r="796" spans="1:19" x14ac:dyDescent="0.3">
      <c r="A796">
        <v>793</v>
      </c>
      <c r="B796" t="s">
        <v>1218</v>
      </c>
      <c r="C796" s="6">
        <v>46084</v>
      </c>
      <c r="D796" s="2" t="str">
        <f t="shared" si="24"/>
        <v>March</v>
      </c>
      <c r="E796" t="s">
        <v>1219</v>
      </c>
      <c r="F796">
        <v>34</v>
      </c>
      <c r="G796" t="str">
        <f t="shared" si="25"/>
        <v>Adult</v>
      </c>
      <c r="H796" t="s">
        <v>22</v>
      </c>
      <c r="I796" t="s">
        <v>120</v>
      </c>
      <c r="J796" t="s">
        <v>65</v>
      </c>
      <c r="K796" t="s">
        <v>44</v>
      </c>
      <c r="L796" t="s">
        <v>224</v>
      </c>
      <c r="M796">
        <v>7</v>
      </c>
      <c r="N796">
        <v>49677</v>
      </c>
      <c r="O796">
        <v>347739</v>
      </c>
      <c r="P796" t="s">
        <v>116</v>
      </c>
      <c r="Q796">
        <v>7</v>
      </c>
      <c r="R796">
        <v>5</v>
      </c>
      <c r="S796" t="s">
        <v>28</v>
      </c>
    </row>
    <row r="797" spans="1:19" x14ac:dyDescent="0.3">
      <c r="A797">
        <v>794</v>
      </c>
      <c r="B797" t="s">
        <v>1220</v>
      </c>
      <c r="C797" s="6">
        <v>46085</v>
      </c>
      <c r="D797" s="2" t="str">
        <f t="shared" si="24"/>
        <v>March</v>
      </c>
      <c r="E797" t="s">
        <v>119</v>
      </c>
      <c r="F797">
        <v>30</v>
      </c>
      <c r="G797" t="str">
        <f t="shared" si="25"/>
        <v>Adult</v>
      </c>
      <c r="H797" t="s">
        <v>22</v>
      </c>
      <c r="I797" t="s">
        <v>102</v>
      </c>
      <c r="J797" t="s">
        <v>50</v>
      </c>
      <c r="K797" t="s">
        <v>25</v>
      </c>
      <c r="L797" t="s">
        <v>189</v>
      </c>
      <c r="M797">
        <v>5</v>
      </c>
      <c r="N797">
        <v>34905</v>
      </c>
      <c r="O797">
        <v>174525</v>
      </c>
      <c r="P797" t="s">
        <v>61</v>
      </c>
      <c r="Q797">
        <v>8</v>
      </c>
      <c r="R797">
        <v>5</v>
      </c>
      <c r="S797" t="s">
        <v>28</v>
      </c>
    </row>
    <row r="798" spans="1:19" x14ac:dyDescent="0.3">
      <c r="A798">
        <v>795</v>
      </c>
      <c r="B798" t="s">
        <v>1221</v>
      </c>
      <c r="C798" s="6">
        <v>46086</v>
      </c>
      <c r="D798" s="2" t="str">
        <f t="shared" si="24"/>
        <v>March</v>
      </c>
      <c r="E798" t="s">
        <v>1138</v>
      </c>
      <c r="F798">
        <v>56</v>
      </c>
      <c r="G798" t="str">
        <f t="shared" si="25"/>
        <v>Senior</v>
      </c>
      <c r="H798" t="s">
        <v>42</v>
      </c>
      <c r="I798" t="s">
        <v>23</v>
      </c>
      <c r="J798" t="s">
        <v>50</v>
      </c>
      <c r="K798" t="s">
        <v>51</v>
      </c>
      <c r="L798" t="s">
        <v>60</v>
      </c>
      <c r="M798">
        <v>9</v>
      </c>
      <c r="N798">
        <v>241</v>
      </c>
      <c r="O798">
        <v>2169</v>
      </c>
      <c r="P798" t="s">
        <v>27</v>
      </c>
      <c r="Q798">
        <v>9</v>
      </c>
      <c r="R798">
        <v>3</v>
      </c>
      <c r="S798" t="s">
        <v>46</v>
      </c>
    </row>
    <row r="799" spans="1:19" x14ac:dyDescent="0.3">
      <c r="A799">
        <v>796</v>
      </c>
      <c r="B799" t="s">
        <v>1222</v>
      </c>
      <c r="C799" s="6">
        <v>46087</v>
      </c>
      <c r="D799" s="2" t="str">
        <f t="shared" si="24"/>
        <v>March</v>
      </c>
      <c r="E799" t="s">
        <v>292</v>
      </c>
      <c r="F799">
        <v>21</v>
      </c>
      <c r="G799" t="str">
        <f t="shared" si="25"/>
        <v>Teenager</v>
      </c>
      <c r="H799" t="s">
        <v>42</v>
      </c>
      <c r="I799" t="s">
        <v>80</v>
      </c>
      <c r="J799" t="s">
        <v>65</v>
      </c>
      <c r="K799" t="s">
        <v>25</v>
      </c>
      <c r="L799" t="s">
        <v>77</v>
      </c>
      <c r="M799">
        <v>9</v>
      </c>
      <c r="N799">
        <v>46308</v>
      </c>
      <c r="O799">
        <v>416772</v>
      </c>
      <c r="P799" t="s">
        <v>53</v>
      </c>
      <c r="Q799">
        <v>2</v>
      </c>
      <c r="R799">
        <v>3</v>
      </c>
      <c r="S799" t="s">
        <v>28</v>
      </c>
    </row>
    <row r="800" spans="1:19" x14ac:dyDescent="0.3">
      <c r="A800">
        <v>797</v>
      </c>
      <c r="B800" t="s">
        <v>1223</v>
      </c>
      <c r="C800" s="6">
        <v>46088</v>
      </c>
      <c r="D800" s="2" t="str">
        <f t="shared" si="24"/>
        <v>March</v>
      </c>
      <c r="E800" t="s">
        <v>695</v>
      </c>
      <c r="F800">
        <v>41</v>
      </c>
      <c r="G800" t="str">
        <f t="shared" si="25"/>
        <v>Adult</v>
      </c>
      <c r="H800" t="s">
        <v>42</v>
      </c>
      <c r="I800" t="s">
        <v>102</v>
      </c>
      <c r="J800" t="s">
        <v>50</v>
      </c>
      <c r="K800" t="s">
        <v>51</v>
      </c>
      <c r="L800" t="s">
        <v>111</v>
      </c>
      <c r="M800">
        <v>10</v>
      </c>
      <c r="N800">
        <v>1278</v>
      </c>
      <c r="O800">
        <v>12780</v>
      </c>
      <c r="P800" t="s">
        <v>27</v>
      </c>
      <c r="Q800">
        <v>6</v>
      </c>
      <c r="R800">
        <v>4</v>
      </c>
      <c r="S800" t="s">
        <v>46</v>
      </c>
    </row>
    <row r="801" spans="1:19" x14ac:dyDescent="0.3">
      <c r="A801">
        <v>798</v>
      </c>
      <c r="B801" t="s">
        <v>1224</v>
      </c>
      <c r="C801" s="6">
        <v>46089</v>
      </c>
      <c r="D801" s="2" t="str">
        <f t="shared" si="24"/>
        <v>March</v>
      </c>
      <c r="E801" t="s">
        <v>728</v>
      </c>
      <c r="F801">
        <v>55</v>
      </c>
      <c r="G801" t="str">
        <f t="shared" si="25"/>
        <v>Senior</v>
      </c>
      <c r="H801" t="s">
        <v>42</v>
      </c>
      <c r="I801" t="s">
        <v>31</v>
      </c>
      <c r="J801" t="s">
        <v>65</v>
      </c>
      <c r="K801" t="s">
        <v>33</v>
      </c>
      <c r="L801" t="s">
        <v>34</v>
      </c>
      <c r="M801">
        <v>9</v>
      </c>
      <c r="N801">
        <v>26797</v>
      </c>
      <c r="O801">
        <v>241173</v>
      </c>
      <c r="P801" t="s">
        <v>53</v>
      </c>
      <c r="Q801">
        <v>6</v>
      </c>
      <c r="R801">
        <v>4</v>
      </c>
      <c r="S801" t="s">
        <v>28</v>
      </c>
    </row>
    <row r="802" spans="1:19" x14ac:dyDescent="0.3">
      <c r="A802">
        <v>799</v>
      </c>
      <c r="B802" t="s">
        <v>1225</v>
      </c>
      <c r="C802" s="6">
        <v>46090</v>
      </c>
      <c r="D802" s="2" t="str">
        <f t="shared" si="24"/>
        <v>March</v>
      </c>
      <c r="E802" t="s">
        <v>833</v>
      </c>
      <c r="F802">
        <v>39</v>
      </c>
      <c r="G802" t="str">
        <f t="shared" si="25"/>
        <v>Adult</v>
      </c>
      <c r="H802" t="s">
        <v>22</v>
      </c>
      <c r="I802" t="s">
        <v>23</v>
      </c>
      <c r="J802" t="s">
        <v>32</v>
      </c>
      <c r="K802" t="s">
        <v>51</v>
      </c>
      <c r="L802" t="s">
        <v>74</v>
      </c>
      <c r="M802">
        <v>3</v>
      </c>
      <c r="N802">
        <v>468</v>
      </c>
      <c r="O802">
        <v>1404</v>
      </c>
      <c r="P802" t="s">
        <v>61</v>
      </c>
      <c r="Q802">
        <v>6</v>
      </c>
      <c r="R802">
        <v>1</v>
      </c>
      <c r="S802" t="s">
        <v>46</v>
      </c>
    </row>
    <row r="803" spans="1:19" x14ac:dyDescent="0.3">
      <c r="A803">
        <v>800</v>
      </c>
      <c r="B803" t="s">
        <v>1226</v>
      </c>
      <c r="C803" s="6">
        <v>46091</v>
      </c>
      <c r="D803" s="2" t="str">
        <f t="shared" si="24"/>
        <v>March</v>
      </c>
      <c r="E803" t="s">
        <v>1227</v>
      </c>
      <c r="F803">
        <v>18</v>
      </c>
      <c r="G803" t="str">
        <f t="shared" si="25"/>
        <v>Teenager</v>
      </c>
      <c r="H803" t="s">
        <v>22</v>
      </c>
      <c r="I803" t="s">
        <v>64</v>
      </c>
      <c r="J803" t="s">
        <v>24</v>
      </c>
      <c r="K803" t="s">
        <v>44</v>
      </c>
      <c r="L803" t="s">
        <v>224</v>
      </c>
      <c r="M803">
        <v>9</v>
      </c>
      <c r="N803">
        <v>18988</v>
      </c>
      <c r="O803">
        <v>170892</v>
      </c>
      <c r="P803" t="s">
        <v>99</v>
      </c>
      <c r="Q803">
        <v>9</v>
      </c>
      <c r="R803">
        <v>4</v>
      </c>
      <c r="S803" t="s">
        <v>46</v>
      </c>
    </row>
    <row r="804" spans="1:19" x14ac:dyDescent="0.3">
      <c r="A804">
        <v>801</v>
      </c>
      <c r="B804" t="s">
        <v>1228</v>
      </c>
      <c r="C804" s="6">
        <v>46092</v>
      </c>
      <c r="D804" s="2" t="str">
        <f t="shared" si="24"/>
        <v>March</v>
      </c>
      <c r="E804" t="s">
        <v>521</v>
      </c>
      <c r="F804">
        <v>54</v>
      </c>
      <c r="G804" t="str">
        <f t="shared" si="25"/>
        <v>Senior</v>
      </c>
      <c r="H804" t="s">
        <v>22</v>
      </c>
      <c r="I804" t="s">
        <v>80</v>
      </c>
      <c r="J804" t="s">
        <v>32</v>
      </c>
      <c r="K804" t="s">
        <v>44</v>
      </c>
      <c r="L804" t="s">
        <v>178</v>
      </c>
      <c r="M804">
        <v>7</v>
      </c>
      <c r="N804">
        <v>17461</v>
      </c>
      <c r="O804">
        <v>122227</v>
      </c>
      <c r="P804" t="s">
        <v>27</v>
      </c>
      <c r="Q804">
        <v>10</v>
      </c>
      <c r="R804">
        <v>4</v>
      </c>
      <c r="S804" t="s">
        <v>28</v>
      </c>
    </row>
    <row r="805" spans="1:19" x14ac:dyDescent="0.3">
      <c r="A805">
        <v>802</v>
      </c>
      <c r="B805" t="s">
        <v>1229</v>
      </c>
      <c r="C805" s="6">
        <v>46093</v>
      </c>
      <c r="D805" s="2" t="str">
        <f t="shared" si="24"/>
        <v>March</v>
      </c>
      <c r="E805" t="s">
        <v>159</v>
      </c>
      <c r="F805">
        <v>37</v>
      </c>
      <c r="G805" t="str">
        <f t="shared" si="25"/>
        <v>Adult</v>
      </c>
      <c r="H805" t="s">
        <v>22</v>
      </c>
      <c r="I805" t="s">
        <v>43</v>
      </c>
      <c r="J805" t="s">
        <v>65</v>
      </c>
      <c r="K805" t="s">
        <v>38</v>
      </c>
      <c r="L805" t="s">
        <v>96</v>
      </c>
      <c r="M805">
        <v>3</v>
      </c>
      <c r="N805">
        <v>1109</v>
      </c>
      <c r="O805">
        <v>3327</v>
      </c>
      <c r="P805" t="s">
        <v>116</v>
      </c>
      <c r="Q805">
        <v>2</v>
      </c>
      <c r="R805">
        <v>1</v>
      </c>
      <c r="S805" t="s">
        <v>46</v>
      </c>
    </row>
    <row r="806" spans="1:19" x14ac:dyDescent="0.3">
      <c r="A806">
        <v>803</v>
      </c>
      <c r="B806" t="s">
        <v>1230</v>
      </c>
      <c r="C806" s="6">
        <v>46094</v>
      </c>
      <c r="D806" s="2" t="str">
        <f t="shared" si="24"/>
        <v>March</v>
      </c>
      <c r="E806" t="s">
        <v>512</v>
      </c>
      <c r="F806">
        <v>22</v>
      </c>
      <c r="G806" t="str">
        <f t="shared" si="25"/>
        <v>Teenager</v>
      </c>
      <c r="H806" t="s">
        <v>22</v>
      </c>
      <c r="I806" t="s">
        <v>64</v>
      </c>
      <c r="J806" t="s">
        <v>32</v>
      </c>
      <c r="K806" t="s">
        <v>38</v>
      </c>
      <c r="L806" t="s">
        <v>96</v>
      </c>
      <c r="M806">
        <v>8</v>
      </c>
      <c r="N806">
        <v>25435</v>
      </c>
      <c r="O806">
        <v>203480</v>
      </c>
      <c r="P806" t="s">
        <v>116</v>
      </c>
      <c r="Q806">
        <v>8</v>
      </c>
      <c r="R806">
        <v>1</v>
      </c>
      <c r="S806" t="s">
        <v>28</v>
      </c>
    </row>
    <row r="807" spans="1:19" x14ac:dyDescent="0.3">
      <c r="A807">
        <v>804</v>
      </c>
      <c r="B807" t="s">
        <v>1231</v>
      </c>
      <c r="C807" s="6">
        <v>46095</v>
      </c>
      <c r="D807" s="2" t="str">
        <f t="shared" si="24"/>
        <v>March</v>
      </c>
      <c r="E807" t="s">
        <v>192</v>
      </c>
      <c r="F807">
        <v>45</v>
      </c>
      <c r="G807" t="str">
        <f t="shared" si="25"/>
        <v>Adult</v>
      </c>
      <c r="H807" t="s">
        <v>42</v>
      </c>
      <c r="I807" t="s">
        <v>64</v>
      </c>
      <c r="J807" t="s">
        <v>32</v>
      </c>
      <c r="K807" t="s">
        <v>25</v>
      </c>
      <c r="L807" t="s">
        <v>94</v>
      </c>
      <c r="M807">
        <v>3</v>
      </c>
      <c r="N807">
        <v>33722</v>
      </c>
      <c r="O807">
        <v>101166</v>
      </c>
      <c r="P807" t="s">
        <v>61</v>
      </c>
      <c r="Q807">
        <v>4</v>
      </c>
      <c r="R807">
        <v>4</v>
      </c>
      <c r="S807" t="s">
        <v>28</v>
      </c>
    </row>
    <row r="808" spans="1:19" x14ac:dyDescent="0.3">
      <c r="A808">
        <v>805</v>
      </c>
      <c r="B808" t="s">
        <v>1232</v>
      </c>
      <c r="C808" s="6">
        <v>46096</v>
      </c>
      <c r="D808" s="2" t="str">
        <f t="shared" si="24"/>
        <v>March</v>
      </c>
      <c r="E808" t="s">
        <v>945</v>
      </c>
      <c r="F808">
        <v>38</v>
      </c>
      <c r="G808" t="str">
        <f t="shared" si="25"/>
        <v>Adult</v>
      </c>
      <c r="H808" t="s">
        <v>42</v>
      </c>
      <c r="I808" t="s">
        <v>49</v>
      </c>
      <c r="J808" t="s">
        <v>24</v>
      </c>
      <c r="K808" t="s">
        <v>25</v>
      </c>
      <c r="L808" t="s">
        <v>77</v>
      </c>
      <c r="M808">
        <v>8</v>
      </c>
      <c r="N808">
        <v>22135</v>
      </c>
      <c r="O808">
        <v>177080</v>
      </c>
      <c r="P808" t="s">
        <v>53</v>
      </c>
      <c r="Q808">
        <v>2</v>
      </c>
      <c r="R808">
        <v>2</v>
      </c>
      <c r="S808" t="s">
        <v>28</v>
      </c>
    </row>
    <row r="809" spans="1:19" x14ac:dyDescent="0.3">
      <c r="A809">
        <v>806</v>
      </c>
      <c r="B809" t="s">
        <v>1233</v>
      </c>
      <c r="C809" s="6">
        <v>46097</v>
      </c>
      <c r="D809" s="2" t="str">
        <f t="shared" si="24"/>
        <v>March</v>
      </c>
      <c r="E809" t="s">
        <v>588</v>
      </c>
      <c r="F809">
        <v>23</v>
      </c>
      <c r="G809" t="str">
        <f t="shared" si="25"/>
        <v>Teenager</v>
      </c>
      <c r="H809" t="s">
        <v>42</v>
      </c>
      <c r="I809" t="s">
        <v>37</v>
      </c>
      <c r="J809" t="s">
        <v>50</v>
      </c>
      <c r="K809" t="s">
        <v>51</v>
      </c>
      <c r="L809" t="s">
        <v>52</v>
      </c>
      <c r="M809">
        <v>6</v>
      </c>
      <c r="N809">
        <v>383</v>
      </c>
      <c r="O809">
        <v>2298</v>
      </c>
      <c r="P809" t="s">
        <v>53</v>
      </c>
      <c r="Q809">
        <v>6</v>
      </c>
      <c r="R809">
        <v>2</v>
      </c>
      <c r="S809" t="s">
        <v>28</v>
      </c>
    </row>
    <row r="810" spans="1:19" x14ac:dyDescent="0.3">
      <c r="A810">
        <v>807</v>
      </c>
      <c r="B810" t="s">
        <v>1234</v>
      </c>
      <c r="C810" s="6">
        <v>46098</v>
      </c>
      <c r="D810" s="2" t="str">
        <f t="shared" si="24"/>
        <v>March</v>
      </c>
      <c r="E810" t="s">
        <v>1008</v>
      </c>
      <c r="F810">
        <v>26</v>
      </c>
      <c r="G810" t="str">
        <f t="shared" si="25"/>
        <v>Teenager</v>
      </c>
      <c r="H810" t="s">
        <v>22</v>
      </c>
      <c r="I810" t="s">
        <v>70</v>
      </c>
      <c r="J810" t="s">
        <v>32</v>
      </c>
      <c r="K810" t="s">
        <v>25</v>
      </c>
      <c r="L810" t="s">
        <v>189</v>
      </c>
      <c r="M810">
        <v>3</v>
      </c>
      <c r="N810">
        <v>47463</v>
      </c>
      <c r="O810">
        <v>142389</v>
      </c>
      <c r="P810" t="s">
        <v>27</v>
      </c>
      <c r="Q810">
        <v>1</v>
      </c>
      <c r="R810">
        <v>4</v>
      </c>
      <c r="S810" t="s">
        <v>28</v>
      </c>
    </row>
    <row r="811" spans="1:19" x14ac:dyDescent="0.3">
      <c r="A811">
        <v>808</v>
      </c>
      <c r="B811" t="s">
        <v>1235</v>
      </c>
      <c r="C811" s="6">
        <v>46099</v>
      </c>
      <c r="D811" s="2" t="str">
        <f t="shared" si="24"/>
        <v>March</v>
      </c>
      <c r="E811" t="s">
        <v>1219</v>
      </c>
      <c r="F811">
        <v>40</v>
      </c>
      <c r="G811" t="str">
        <f t="shared" si="25"/>
        <v>Adult</v>
      </c>
      <c r="H811" t="s">
        <v>22</v>
      </c>
      <c r="I811" t="s">
        <v>120</v>
      </c>
      <c r="J811" t="s">
        <v>24</v>
      </c>
      <c r="K811" t="s">
        <v>44</v>
      </c>
      <c r="L811" t="s">
        <v>178</v>
      </c>
      <c r="M811">
        <v>2</v>
      </c>
      <c r="N811">
        <v>48730</v>
      </c>
      <c r="O811">
        <v>97460</v>
      </c>
      <c r="P811" t="s">
        <v>27</v>
      </c>
      <c r="Q811">
        <v>3</v>
      </c>
      <c r="R811">
        <v>2</v>
      </c>
      <c r="S811" t="s">
        <v>28</v>
      </c>
    </row>
    <row r="812" spans="1:19" x14ac:dyDescent="0.3">
      <c r="A812">
        <v>809</v>
      </c>
      <c r="B812" t="s">
        <v>1236</v>
      </c>
      <c r="C812" s="6">
        <v>46100</v>
      </c>
      <c r="D812" s="2" t="str">
        <f t="shared" si="24"/>
        <v>March</v>
      </c>
      <c r="E812" t="s">
        <v>580</v>
      </c>
      <c r="F812">
        <v>43</v>
      </c>
      <c r="G812" t="str">
        <f t="shared" si="25"/>
        <v>Adult</v>
      </c>
      <c r="H812" t="s">
        <v>22</v>
      </c>
      <c r="I812" t="s">
        <v>31</v>
      </c>
      <c r="J812" t="s">
        <v>32</v>
      </c>
      <c r="K812" t="s">
        <v>25</v>
      </c>
      <c r="L812" t="s">
        <v>77</v>
      </c>
      <c r="M812">
        <v>7</v>
      </c>
      <c r="N812">
        <v>44588</v>
      </c>
      <c r="O812">
        <v>312116</v>
      </c>
      <c r="P812" t="s">
        <v>116</v>
      </c>
      <c r="Q812">
        <v>10</v>
      </c>
      <c r="R812">
        <v>5</v>
      </c>
      <c r="S812" t="s">
        <v>28</v>
      </c>
    </row>
    <row r="813" spans="1:19" x14ac:dyDescent="0.3">
      <c r="A813">
        <v>810</v>
      </c>
      <c r="B813" t="s">
        <v>1237</v>
      </c>
      <c r="C813" s="6">
        <v>46101</v>
      </c>
      <c r="D813" s="2" t="str">
        <f t="shared" si="24"/>
        <v>March</v>
      </c>
      <c r="E813" t="s">
        <v>974</v>
      </c>
      <c r="F813">
        <v>27</v>
      </c>
      <c r="G813" t="str">
        <f t="shared" si="25"/>
        <v>Teenager</v>
      </c>
      <c r="H813" t="s">
        <v>22</v>
      </c>
      <c r="I813" t="s">
        <v>80</v>
      </c>
      <c r="J813" t="s">
        <v>32</v>
      </c>
      <c r="K813" t="s">
        <v>44</v>
      </c>
      <c r="L813" t="s">
        <v>224</v>
      </c>
      <c r="M813">
        <v>2</v>
      </c>
      <c r="N813">
        <v>1833</v>
      </c>
      <c r="O813">
        <v>3666</v>
      </c>
      <c r="P813" t="s">
        <v>27</v>
      </c>
      <c r="Q813">
        <v>8</v>
      </c>
      <c r="R813">
        <v>2</v>
      </c>
      <c r="S813" t="s">
        <v>28</v>
      </c>
    </row>
    <row r="814" spans="1:19" x14ac:dyDescent="0.3">
      <c r="A814">
        <v>811</v>
      </c>
      <c r="B814" t="s">
        <v>1238</v>
      </c>
      <c r="C814" s="6">
        <v>46102</v>
      </c>
      <c r="D814" s="2" t="str">
        <f t="shared" si="24"/>
        <v>March</v>
      </c>
      <c r="E814" t="s">
        <v>260</v>
      </c>
      <c r="F814">
        <v>47</v>
      </c>
      <c r="G814" t="str">
        <f t="shared" si="25"/>
        <v>Adult</v>
      </c>
      <c r="H814" t="s">
        <v>42</v>
      </c>
      <c r="I814" t="s">
        <v>120</v>
      </c>
      <c r="J814" t="s">
        <v>24</v>
      </c>
      <c r="K814" t="s">
        <v>33</v>
      </c>
      <c r="L814" t="s">
        <v>89</v>
      </c>
      <c r="M814">
        <v>10</v>
      </c>
      <c r="N814">
        <v>43650</v>
      </c>
      <c r="O814">
        <v>436500</v>
      </c>
      <c r="P814" t="s">
        <v>99</v>
      </c>
      <c r="Q814">
        <v>2</v>
      </c>
      <c r="R814">
        <v>4</v>
      </c>
      <c r="S814" t="s">
        <v>46</v>
      </c>
    </row>
    <row r="815" spans="1:19" x14ac:dyDescent="0.3">
      <c r="A815">
        <v>812</v>
      </c>
      <c r="B815" t="s">
        <v>1239</v>
      </c>
      <c r="C815" s="6">
        <v>46103</v>
      </c>
      <c r="D815" s="2" t="str">
        <f t="shared" si="24"/>
        <v>March</v>
      </c>
      <c r="E815" t="s">
        <v>69</v>
      </c>
      <c r="F815">
        <v>51</v>
      </c>
      <c r="G815" t="str">
        <f t="shared" si="25"/>
        <v>Senior</v>
      </c>
      <c r="H815" t="s">
        <v>42</v>
      </c>
      <c r="I815" t="s">
        <v>43</v>
      </c>
      <c r="J815" t="s">
        <v>32</v>
      </c>
      <c r="K815" t="s">
        <v>33</v>
      </c>
      <c r="L815" t="s">
        <v>160</v>
      </c>
      <c r="M815">
        <v>7</v>
      </c>
      <c r="N815">
        <v>9942</v>
      </c>
      <c r="O815">
        <v>69594</v>
      </c>
      <c r="P815" t="s">
        <v>61</v>
      </c>
      <c r="Q815">
        <v>10</v>
      </c>
      <c r="R815">
        <v>1</v>
      </c>
      <c r="S815" t="s">
        <v>46</v>
      </c>
    </row>
    <row r="816" spans="1:19" x14ac:dyDescent="0.3">
      <c r="A816">
        <v>813</v>
      </c>
      <c r="B816" t="s">
        <v>1240</v>
      </c>
      <c r="C816" s="6">
        <v>46104</v>
      </c>
      <c r="D816" s="2" t="str">
        <f t="shared" si="24"/>
        <v>March</v>
      </c>
      <c r="E816" t="s">
        <v>788</v>
      </c>
      <c r="F816">
        <v>33</v>
      </c>
      <c r="G816" t="str">
        <f t="shared" si="25"/>
        <v>Adult</v>
      </c>
      <c r="H816" t="s">
        <v>42</v>
      </c>
      <c r="I816" t="s">
        <v>64</v>
      </c>
      <c r="J816" t="s">
        <v>65</v>
      </c>
      <c r="K816" t="s">
        <v>33</v>
      </c>
      <c r="L816" t="s">
        <v>153</v>
      </c>
      <c r="M816">
        <v>7</v>
      </c>
      <c r="N816">
        <v>17015</v>
      </c>
      <c r="O816">
        <v>119105</v>
      </c>
      <c r="P816" t="s">
        <v>61</v>
      </c>
      <c r="Q816">
        <v>5</v>
      </c>
      <c r="R816">
        <v>1</v>
      </c>
      <c r="S816" t="s">
        <v>28</v>
      </c>
    </row>
    <row r="817" spans="1:19" x14ac:dyDescent="0.3">
      <c r="A817">
        <v>814</v>
      </c>
      <c r="B817" t="s">
        <v>1241</v>
      </c>
      <c r="C817" s="6">
        <v>46105</v>
      </c>
      <c r="D817" s="2" t="str">
        <f t="shared" si="24"/>
        <v>March</v>
      </c>
      <c r="E817" t="s">
        <v>519</v>
      </c>
      <c r="F817">
        <v>19</v>
      </c>
      <c r="G817" t="str">
        <f t="shared" si="25"/>
        <v>Teenager</v>
      </c>
      <c r="H817" t="s">
        <v>42</v>
      </c>
      <c r="I817" t="s">
        <v>120</v>
      </c>
      <c r="J817" t="s">
        <v>50</v>
      </c>
      <c r="K817" t="s">
        <v>25</v>
      </c>
      <c r="L817" t="s">
        <v>77</v>
      </c>
      <c r="M817">
        <v>5</v>
      </c>
      <c r="N817">
        <v>42007</v>
      </c>
      <c r="O817">
        <v>210035</v>
      </c>
      <c r="P817" t="s">
        <v>61</v>
      </c>
      <c r="Q817">
        <v>10</v>
      </c>
      <c r="R817">
        <v>4</v>
      </c>
      <c r="S817" t="s">
        <v>46</v>
      </c>
    </row>
    <row r="818" spans="1:19" x14ac:dyDescent="0.3">
      <c r="A818">
        <v>815</v>
      </c>
      <c r="B818" t="s">
        <v>1242</v>
      </c>
      <c r="C818" s="6">
        <v>46106</v>
      </c>
      <c r="D818" s="2" t="str">
        <f t="shared" si="24"/>
        <v>March</v>
      </c>
      <c r="E818" t="s">
        <v>166</v>
      </c>
      <c r="F818">
        <v>33</v>
      </c>
      <c r="G818" t="str">
        <f t="shared" si="25"/>
        <v>Adult</v>
      </c>
      <c r="H818" t="s">
        <v>42</v>
      </c>
      <c r="I818" t="s">
        <v>70</v>
      </c>
      <c r="J818" t="s">
        <v>24</v>
      </c>
      <c r="K818" t="s">
        <v>51</v>
      </c>
      <c r="L818" t="s">
        <v>52</v>
      </c>
      <c r="M818">
        <v>6</v>
      </c>
      <c r="N818">
        <v>1421</v>
      </c>
      <c r="O818">
        <v>8526</v>
      </c>
      <c r="P818" t="s">
        <v>27</v>
      </c>
      <c r="Q818">
        <v>7</v>
      </c>
      <c r="R818">
        <v>5</v>
      </c>
      <c r="S818" t="s">
        <v>46</v>
      </c>
    </row>
    <row r="819" spans="1:19" x14ac:dyDescent="0.3">
      <c r="A819">
        <v>816</v>
      </c>
      <c r="B819" t="s">
        <v>1243</v>
      </c>
      <c r="C819" s="6">
        <v>46107</v>
      </c>
      <c r="D819" s="2" t="str">
        <f t="shared" si="24"/>
        <v>March</v>
      </c>
      <c r="E819" t="s">
        <v>717</v>
      </c>
      <c r="F819">
        <v>46</v>
      </c>
      <c r="G819" t="str">
        <f t="shared" si="25"/>
        <v>Adult</v>
      </c>
      <c r="H819" t="s">
        <v>42</v>
      </c>
      <c r="I819" t="s">
        <v>31</v>
      </c>
      <c r="J819" t="s">
        <v>24</v>
      </c>
      <c r="K819" t="s">
        <v>33</v>
      </c>
      <c r="L819" t="s">
        <v>160</v>
      </c>
      <c r="M819">
        <v>8</v>
      </c>
      <c r="N819">
        <v>3635</v>
      </c>
      <c r="O819">
        <v>29080</v>
      </c>
      <c r="P819" t="s">
        <v>61</v>
      </c>
      <c r="Q819">
        <v>1</v>
      </c>
      <c r="R819">
        <v>1</v>
      </c>
      <c r="S819" t="s">
        <v>28</v>
      </c>
    </row>
    <row r="820" spans="1:19" x14ac:dyDescent="0.3">
      <c r="A820">
        <v>817</v>
      </c>
      <c r="B820" t="s">
        <v>1244</v>
      </c>
      <c r="C820" s="6">
        <v>46108</v>
      </c>
      <c r="D820" s="2" t="str">
        <f t="shared" si="24"/>
        <v>March</v>
      </c>
      <c r="E820" t="s">
        <v>519</v>
      </c>
      <c r="F820">
        <v>22</v>
      </c>
      <c r="G820" t="str">
        <f t="shared" si="25"/>
        <v>Teenager</v>
      </c>
      <c r="H820" t="s">
        <v>22</v>
      </c>
      <c r="I820" t="s">
        <v>49</v>
      </c>
      <c r="J820" t="s">
        <v>65</v>
      </c>
      <c r="K820" t="s">
        <v>33</v>
      </c>
      <c r="L820" t="s">
        <v>160</v>
      </c>
      <c r="M820">
        <v>8</v>
      </c>
      <c r="N820">
        <v>19999</v>
      </c>
      <c r="O820">
        <v>159992</v>
      </c>
      <c r="P820" t="s">
        <v>116</v>
      </c>
      <c r="Q820">
        <v>7</v>
      </c>
      <c r="R820">
        <v>4</v>
      </c>
      <c r="S820" t="s">
        <v>46</v>
      </c>
    </row>
    <row r="821" spans="1:19" x14ac:dyDescent="0.3">
      <c r="A821">
        <v>818</v>
      </c>
      <c r="B821" t="s">
        <v>1245</v>
      </c>
      <c r="C821" s="6">
        <v>46109</v>
      </c>
      <c r="D821" s="2" t="str">
        <f t="shared" si="24"/>
        <v>March</v>
      </c>
      <c r="E821" t="s">
        <v>313</v>
      </c>
      <c r="F821">
        <v>57</v>
      </c>
      <c r="G821" t="str">
        <f t="shared" si="25"/>
        <v>Senior</v>
      </c>
      <c r="H821" t="s">
        <v>22</v>
      </c>
      <c r="I821" t="s">
        <v>80</v>
      </c>
      <c r="J821" t="s">
        <v>32</v>
      </c>
      <c r="K821" t="s">
        <v>44</v>
      </c>
      <c r="L821" t="s">
        <v>121</v>
      </c>
      <c r="M821">
        <v>5</v>
      </c>
      <c r="N821">
        <v>30937</v>
      </c>
      <c r="O821">
        <v>154685</v>
      </c>
      <c r="P821" t="s">
        <v>116</v>
      </c>
      <c r="Q821">
        <v>6</v>
      </c>
      <c r="R821">
        <v>5</v>
      </c>
      <c r="S821" t="s">
        <v>28</v>
      </c>
    </row>
    <row r="822" spans="1:19" x14ac:dyDescent="0.3">
      <c r="A822">
        <v>819</v>
      </c>
      <c r="B822" t="s">
        <v>1246</v>
      </c>
      <c r="C822" s="6">
        <v>46110</v>
      </c>
      <c r="D822" s="2" t="str">
        <f t="shared" si="24"/>
        <v>March</v>
      </c>
      <c r="E822" t="s">
        <v>1247</v>
      </c>
      <c r="F822">
        <v>21</v>
      </c>
      <c r="G822" t="str">
        <f t="shared" si="25"/>
        <v>Teenager</v>
      </c>
      <c r="H822" t="s">
        <v>22</v>
      </c>
      <c r="I822" t="s">
        <v>43</v>
      </c>
      <c r="J822" t="s">
        <v>50</v>
      </c>
      <c r="K822" t="s">
        <v>38</v>
      </c>
      <c r="L822" t="s">
        <v>81</v>
      </c>
      <c r="M822">
        <v>7</v>
      </c>
      <c r="N822">
        <v>15477</v>
      </c>
      <c r="O822">
        <v>108339</v>
      </c>
      <c r="P822" t="s">
        <v>61</v>
      </c>
      <c r="Q822">
        <v>10</v>
      </c>
      <c r="R822">
        <v>1</v>
      </c>
      <c r="S822" t="s">
        <v>28</v>
      </c>
    </row>
    <row r="823" spans="1:19" x14ac:dyDescent="0.3">
      <c r="A823">
        <v>820</v>
      </c>
      <c r="B823" t="s">
        <v>1248</v>
      </c>
      <c r="C823" s="6">
        <v>46111</v>
      </c>
      <c r="D823" s="2" t="str">
        <f t="shared" si="24"/>
        <v>March</v>
      </c>
      <c r="E823" t="s">
        <v>1249</v>
      </c>
      <c r="F823">
        <v>35</v>
      </c>
      <c r="G823" t="str">
        <f t="shared" si="25"/>
        <v>Adult</v>
      </c>
      <c r="H823" t="s">
        <v>22</v>
      </c>
      <c r="I823" t="s">
        <v>37</v>
      </c>
      <c r="J823" t="s">
        <v>65</v>
      </c>
      <c r="K823" t="s">
        <v>33</v>
      </c>
      <c r="L823" t="s">
        <v>34</v>
      </c>
      <c r="M823">
        <v>8</v>
      </c>
      <c r="N823">
        <v>412</v>
      </c>
      <c r="O823">
        <v>3296</v>
      </c>
      <c r="P823" t="s">
        <v>53</v>
      </c>
      <c r="Q823">
        <v>9</v>
      </c>
      <c r="R823">
        <v>2</v>
      </c>
      <c r="S823" t="s">
        <v>46</v>
      </c>
    </row>
    <row r="824" spans="1:19" x14ac:dyDescent="0.3">
      <c r="A824">
        <v>821</v>
      </c>
      <c r="B824" t="s">
        <v>1250</v>
      </c>
      <c r="C824" s="6">
        <v>46112</v>
      </c>
      <c r="D824" s="2" t="str">
        <f t="shared" si="24"/>
        <v>March</v>
      </c>
      <c r="E824" t="s">
        <v>262</v>
      </c>
      <c r="F824">
        <v>40</v>
      </c>
      <c r="G824" t="str">
        <f t="shared" si="25"/>
        <v>Adult</v>
      </c>
      <c r="H824" t="s">
        <v>22</v>
      </c>
      <c r="I824" t="s">
        <v>120</v>
      </c>
      <c r="J824" t="s">
        <v>32</v>
      </c>
      <c r="K824" t="s">
        <v>25</v>
      </c>
      <c r="L824" t="s">
        <v>94</v>
      </c>
      <c r="M824">
        <v>3</v>
      </c>
      <c r="N824">
        <v>27220</v>
      </c>
      <c r="O824">
        <v>81660</v>
      </c>
      <c r="P824" t="s">
        <v>99</v>
      </c>
      <c r="Q824">
        <v>3</v>
      </c>
      <c r="R824">
        <v>3</v>
      </c>
      <c r="S824" t="s">
        <v>28</v>
      </c>
    </row>
    <row r="825" spans="1:19" x14ac:dyDescent="0.3">
      <c r="A825">
        <v>822</v>
      </c>
      <c r="B825" t="s">
        <v>1251</v>
      </c>
      <c r="C825" s="6">
        <v>46113</v>
      </c>
      <c r="D825" s="2" t="str">
        <f t="shared" si="24"/>
        <v>April</v>
      </c>
      <c r="E825" t="s">
        <v>172</v>
      </c>
      <c r="F825">
        <v>23</v>
      </c>
      <c r="G825" t="str">
        <f t="shared" si="25"/>
        <v>Teenager</v>
      </c>
      <c r="H825" t="s">
        <v>22</v>
      </c>
      <c r="I825" t="s">
        <v>102</v>
      </c>
      <c r="J825" t="s">
        <v>24</v>
      </c>
      <c r="K825" t="s">
        <v>38</v>
      </c>
      <c r="L825" t="s">
        <v>135</v>
      </c>
      <c r="M825">
        <v>3</v>
      </c>
      <c r="N825">
        <v>25103</v>
      </c>
      <c r="O825">
        <v>75309</v>
      </c>
      <c r="P825" t="s">
        <v>116</v>
      </c>
      <c r="Q825">
        <v>7</v>
      </c>
      <c r="R825">
        <v>3</v>
      </c>
      <c r="S825" t="s">
        <v>28</v>
      </c>
    </row>
    <row r="826" spans="1:19" x14ac:dyDescent="0.3">
      <c r="A826">
        <v>823</v>
      </c>
      <c r="B826" t="s">
        <v>1252</v>
      </c>
      <c r="C826" s="6">
        <v>46114</v>
      </c>
      <c r="D826" s="2" t="str">
        <f t="shared" si="24"/>
        <v>April</v>
      </c>
      <c r="E826" t="s">
        <v>428</v>
      </c>
      <c r="F826">
        <v>58</v>
      </c>
      <c r="G826" t="str">
        <f t="shared" si="25"/>
        <v>Senior</v>
      </c>
      <c r="H826" t="s">
        <v>42</v>
      </c>
      <c r="I826" t="s">
        <v>120</v>
      </c>
      <c r="J826" t="s">
        <v>65</v>
      </c>
      <c r="K826" t="s">
        <v>51</v>
      </c>
      <c r="L826" t="s">
        <v>74</v>
      </c>
      <c r="M826">
        <v>2</v>
      </c>
      <c r="N826">
        <v>844</v>
      </c>
      <c r="O826">
        <v>1688</v>
      </c>
      <c r="P826" t="s">
        <v>61</v>
      </c>
      <c r="Q826">
        <v>7</v>
      </c>
      <c r="R826">
        <v>5</v>
      </c>
      <c r="S826" t="s">
        <v>28</v>
      </c>
    </row>
    <row r="827" spans="1:19" x14ac:dyDescent="0.3">
      <c r="A827">
        <v>824</v>
      </c>
      <c r="B827" t="s">
        <v>1253</v>
      </c>
      <c r="C827" s="6">
        <v>46115</v>
      </c>
      <c r="D827" s="2" t="str">
        <f t="shared" si="24"/>
        <v>April</v>
      </c>
      <c r="E827" t="s">
        <v>1254</v>
      </c>
      <c r="F827">
        <v>47</v>
      </c>
      <c r="G827" t="str">
        <f t="shared" si="25"/>
        <v>Adult</v>
      </c>
      <c r="H827" t="s">
        <v>42</v>
      </c>
      <c r="I827" t="s">
        <v>49</v>
      </c>
      <c r="J827" t="s">
        <v>24</v>
      </c>
      <c r="K827" t="s">
        <v>33</v>
      </c>
      <c r="L827" t="s">
        <v>153</v>
      </c>
      <c r="M827">
        <v>3</v>
      </c>
      <c r="N827">
        <v>21107</v>
      </c>
      <c r="O827">
        <v>63321</v>
      </c>
      <c r="P827" t="s">
        <v>116</v>
      </c>
      <c r="Q827">
        <v>10</v>
      </c>
      <c r="R827">
        <v>5</v>
      </c>
      <c r="S827" t="s">
        <v>28</v>
      </c>
    </row>
    <row r="828" spans="1:19" x14ac:dyDescent="0.3">
      <c r="A828">
        <v>825</v>
      </c>
      <c r="B828" t="s">
        <v>1255</v>
      </c>
      <c r="C828" s="6">
        <v>46116</v>
      </c>
      <c r="D828" s="2" t="str">
        <f t="shared" si="24"/>
        <v>April</v>
      </c>
      <c r="E828" t="s">
        <v>358</v>
      </c>
      <c r="F828">
        <v>49</v>
      </c>
      <c r="G828" t="str">
        <f t="shared" si="25"/>
        <v>Adult</v>
      </c>
      <c r="H828" t="s">
        <v>42</v>
      </c>
      <c r="I828" t="s">
        <v>43</v>
      </c>
      <c r="J828" t="s">
        <v>50</v>
      </c>
      <c r="K828" t="s">
        <v>38</v>
      </c>
      <c r="L828" t="s">
        <v>39</v>
      </c>
      <c r="M828">
        <v>5</v>
      </c>
      <c r="N828">
        <v>43124</v>
      </c>
      <c r="O828">
        <v>215620</v>
      </c>
      <c r="P828" t="s">
        <v>53</v>
      </c>
      <c r="Q828">
        <v>1</v>
      </c>
      <c r="R828">
        <v>5</v>
      </c>
      <c r="S828" t="s">
        <v>46</v>
      </c>
    </row>
    <row r="829" spans="1:19" x14ac:dyDescent="0.3">
      <c r="A829">
        <v>826</v>
      </c>
      <c r="B829" t="s">
        <v>1256</v>
      </c>
      <c r="C829" s="6">
        <v>46117</v>
      </c>
      <c r="D829" s="2" t="str">
        <f t="shared" si="24"/>
        <v>April</v>
      </c>
      <c r="E829" t="s">
        <v>655</v>
      </c>
      <c r="F829">
        <v>59</v>
      </c>
      <c r="G829" t="str">
        <f t="shared" si="25"/>
        <v>Senior</v>
      </c>
      <c r="H829" t="s">
        <v>42</v>
      </c>
      <c r="I829" t="s">
        <v>31</v>
      </c>
      <c r="J829" t="s">
        <v>65</v>
      </c>
      <c r="K829" t="s">
        <v>38</v>
      </c>
      <c r="L829" t="s">
        <v>135</v>
      </c>
      <c r="M829">
        <v>9</v>
      </c>
      <c r="N829">
        <v>31681</v>
      </c>
      <c r="O829">
        <v>285129</v>
      </c>
      <c r="P829" t="s">
        <v>61</v>
      </c>
      <c r="Q829">
        <v>10</v>
      </c>
      <c r="R829">
        <v>4</v>
      </c>
      <c r="S829" t="s">
        <v>28</v>
      </c>
    </row>
    <row r="830" spans="1:19" x14ac:dyDescent="0.3">
      <c r="A830">
        <v>827</v>
      </c>
      <c r="B830" t="s">
        <v>1257</v>
      </c>
      <c r="C830" s="6">
        <v>46118</v>
      </c>
      <c r="D830" s="2" t="str">
        <f t="shared" si="24"/>
        <v>April</v>
      </c>
      <c r="E830" t="s">
        <v>184</v>
      </c>
      <c r="F830">
        <v>32</v>
      </c>
      <c r="G830" t="str">
        <f t="shared" si="25"/>
        <v>Adult</v>
      </c>
      <c r="H830" t="s">
        <v>22</v>
      </c>
      <c r="I830" t="s">
        <v>23</v>
      </c>
      <c r="J830" t="s">
        <v>32</v>
      </c>
      <c r="K830" t="s">
        <v>38</v>
      </c>
      <c r="L830" t="s">
        <v>39</v>
      </c>
      <c r="M830">
        <v>10</v>
      </c>
      <c r="N830">
        <v>6225</v>
      </c>
      <c r="O830">
        <v>62250</v>
      </c>
      <c r="P830" t="s">
        <v>99</v>
      </c>
      <c r="Q830">
        <v>10</v>
      </c>
      <c r="R830">
        <v>2</v>
      </c>
      <c r="S830" t="s">
        <v>46</v>
      </c>
    </row>
    <row r="831" spans="1:19" x14ac:dyDescent="0.3">
      <c r="A831">
        <v>828</v>
      </c>
      <c r="B831" t="s">
        <v>1258</v>
      </c>
      <c r="C831" s="6">
        <v>46119</v>
      </c>
      <c r="D831" s="2" t="str">
        <f t="shared" si="24"/>
        <v>April</v>
      </c>
      <c r="E831" t="s">
        <v>326</v>
      </c>
      <c r="F831">
        <v>41</v>
      </c>
      <c r="G831" t="str">
        <f t="shared" si="25"/>
        <v>Adult</v>
      </c>
      <c r="H831" t="s">
        <v>42</v>
      </c>
      <c r="I831" t="s">
        <v>31</v>
      </c>
      <c r="J831" t="s">
        <v>65</v>
      </c>
      <c r="K831" t="s">
        <v>25</v>
      </c>
      <c r="L831" t="s">
        <v>124</v>
      </c>
      <c r="M831">
        <v>3</v>
      </c>
      <c r="N831">
        <v>34158</v>
      </c>
      <c r="O831">
        <v>102474</v>
      </c>
      <c r="P831" t="s">
        <v>53</v>
      </c>
      <c r="Q831">
        <v>6</v>
      </c>
      <c r="R831">
        <v>4</v>
      </c>
      <c r="S831" t="s">
        <v>28</v>
      </c>
    </row>
    <row r="832" spans="1:19" x14ac:dyDescent="0.3">
      <c r="A832">
        <v>829</v>
      </c>
      <c r="B832" t="s">
        <v>1259</v>
      </c>
      <c r="C832" s="6">
        <v>46120</v>
      </c>
      <c r="D832" s="2" t="str">
        <f t="shared" si="24"/>
        <v>April</v>
      </c>
      <c r="E832" t="s">
        <v>1260</v>
      </c>
      <c r="F832">
        <v>49</v>
      </c>
      <c r="G832" t="str">
        <f t="shared" si="25"/>
        <v>Adult</v>
      </c>
      <c r="H832" t="s">
        <v>22</v>
      </c>
      <c r="I832" t="s">
        <v>43</v>
      </c>
      <c r="J832" t="s">
        <v>24</v>
      </c>
      <c r="K832" t="s">
        <v>51</v>
      </c>
      <c r="L832" t="s">
        <v>52</v>
      </c>
      <c r="M832">
        <v>5</v>
      </c>
      <c r="N832">
        <v>1569</v>
      </c>
      <c r="O832">
        <v>7845</v>
      </c>
      <c r="P832" t="s">
        <v>99</v>
      </c>
      <c r="Q832">
        <v>10</v>
      </c>
      <c r="R832">
        <v>4</v>
      </c>
      <c r="S832" t="s">
        <v>28</v>
      </c>
    </row>
    <row r="833" spans="1:19" x14ac:dyDescent="0.3">
      <c r="A833">
        <v>830</v>
      </c>
      <c r="B833" t="s">
        <v>1261</v>
      </c>
      <c r="C833" s="6">
        <v>46121</v>
      </c>
      <c r="D833" s="2" t="str">
        <f t="shared" si="24"/>
        <v>April</v>
      </c>
      <c r="E833" t="s">
        <v>371</v>
      </c>
      <c r="F833">
        <v>45</v>
      </c>
      <c r="G833" t="str">
        <f t="shared" si="25"/>
        <v>Adult</v>
      </c>
      <c r="H833" t="s">
        <v>42</v>
      </c>
      <c r="I833" t="s">
        <v>102</v>
      </c>
      <c r="J833" t="s">
        <v>50</v>
      </c>
      <c r="K833" t="s">
        <v>44</v>
      </c>
      <c r="L833" t="s">
        <v>91</v>
      </c>
      <c r="M833">
        <v>9</v>
      </c>
      <c r="N833">
        <v>5354</v>
      </c>
      <c r="O833">
        <v>48186</v>
      </c>
      <c r="P833" t="s">
        <v>27</v>
      </c>
      <c r="Q833">
        <v>5</v>
      </c>
      <c r="R833">
        <v>3</v>
      </c>
      <c r="S833" t="s">
        <v>46</v>
      </c>
    </row>
    <row r="834" spans="1:19" x14ac:dyDescent="0.3">
      <c r="A834">
        <v>831</v>
      </c>
      <c r="B834" t="s">
        <v>1262</v>
      </c>
      <c r="C834" s="6">
        <v>46122</v>
      </c>
      <c r="D834" s="2" t="str">
        <f t="shared" si="24"/>
        <v>April</v>
      </c>
      <c r="E834" t="s">
        <v>471</v>
      </c>
      <c r="F834">
        <v>20</v>
      </c>
      <c r="G834" t="str">
        <f t="shared" si="25"/>
        <v>Teenager</v>
      </c>
      <c r="H834" t="s">
        <v>42</v>
      </c>
      <c r="I834" t="s">
        <v>64</v>
      </c>
      <c r="J834" t="s">
        <v>65</v>
      </c>
      <c r="K834" t="s">
        <v>38</v>
      </c>
      <c r="L834" t="s">
        <v>135</v>
      </c>
      <c r="M834">
        <v>6</v>
      </c>
      <c r="N834">
        <v>45283</v>
      </c>
      <c r="O834">
        <v>271698</v>
      </c>
      <c r="P834" t="s">
        <v>61</v>
      </c>
      <c r="Q834">
        <v>7</v>
      </c>
      <c r="R834">
        <v>3</v>
      </c>
      <c r="S834" t="s">
        <v>46</v>
      </c>
    </row>
    <row r="835" spans="1:19" x14ac:dyDescent="0.3">
      <c r="A835">
        <v>832</v>
      </c>
      <c r="B835" t="s">
        <v>1263</v>
      </c>
      <c r="C835" s="6">
        <v>46123</v>
      </c>
      <c r="D835" s="2" t="str">
        <f t="shared" si="24"/>
        <v>April</v>
      </c>
      <c r="E835" t="s">
        <v>1264</v>
      </c>
      <c r="F835">
        <v>25</v>
      </c>
      <c r="G835" t="str">
        <f t="shared" si="25"/>
        <v>Teenager</v>
      </c>
      <c r="H835" t="s">
        <v>42</v>
      </c>
      <c r="I835" t="s">
        <v>102</v>
      </c>
      <c r="J835" t="s">
        <v>32</v>
      </c>
      <c r="K835" t="s">
        <v>44</v>
      </c>
      <c r="L835" t="s">
        <v>91</v>
      </c>
      <c r="M835">
        <v>3</v>
      </c>
      <c r="N835">
        <v>14850</v>
      </c>
      <c r="O835">
        <v>44550</v>
      </c>
      <c r="P835" t="s">
        <v>116</v>
      </c>
      <c r="Q835">
        <v>5</v>
      </c>
      <c r="R835">
        <v>3</v>
      </c>
      <c r="S835" t="s">
        <v>46</v>
      </c>
    </row>
    <row r="836" spans="1:19" x14ac:dyDescent="0.3">
      <c r="A836">
        <v>833</v>
      </c>
      <c r="B836" t="s">
        <v>1265</v>
      </c>
      <c r="C836" s="6">
        <v>46124</v>
      </c>
      <c r="D836" s="2" t="str">
        <f t="shared" ref="D836:D899" si="26">TEXT(C836,"mmmm")</f>
        <v>April</v>
      </c>
      <c r="E836" t="s">
        <v>1088</v>
      </c>
      <c r="F836">
        <v>20</v>
      </c>
      <c r="G836" t="str">
        <f t="shared" ref="G836:G899" si="27">IF(F836&gt;=50,"Senior",IF(F836&gt;=30,"Adult","Teenager"))</f>
        <v>Teenager</v>
      </c>
      <c r="H836" t="s">
        <v>22</v>
      </c>
      <c r="I836" t="s">
        <v>31</v>
      </c>
      <c r="J836" t="s">
        <v>65</v>
      </c>
      <c r="K836" t="s">
        <v>38</v>
      </c>
      <c r="L836" t="s">
        <v>96</v>
      </c>
      <c r="M836">
        <v>2</v>
      </c>
      <c r="N836">
        <v>8886</v>
      </c>
      <c r="O836">
        <v>17772</v>
      </c>
      <c r="P836" t="s">
        <v>61</v>
      </c>
      <c r="Q836">
        <v>5</v>
      </c>
      <c r="R836">
        <v>1</v>
      </c>
      <c r="S836" t="s">
        <v>46</v>
      </c>
    </row>
    <row r="837" spans="1:19" x14ac:dyDescent="0.3">
      <c r="A837">
        <v>834</v>
      </c>
      <c r="B837" t="s">
        <v>1266</v>
      </c>
      <c r="C837" s="6">
        <v>46125</v>
      </c>
      <c r="D837" s="2" t="str">
        <f t="shared" si="26"/>
        <v>April</v>
      </c>
      <c r="E837" t="s">
        <v>811</v>
      </c>
      <c r="F837">
        <v>42</v>
      </c>
      <c r="G837" t="str">
        <f t="shared" si="27"/>
        <v>Adult</v>
      </c>
      <c r="H837" t="s">
        <v>22</v>
      </c>
      <c r="I837" t="s">
        <v>120</v>
      </c>
      <c r="J837" t="s">
        <v>32</v>
      </c>
      <c r="K837" t="s">
        <v>44</v>
      </c>
      <c r="L837" t="s">
        <v>91</v>
      </c>
      <c r="M837">
        <v>7</v>
      </c>
      <c r="N837">
        <v>12373</v>
      </c>
      <c r="O837">
        <v>86611</v>
      </c>
      <c r="P837" t="s">
        <v>27</v>
      </c>
      <c r="Q837">
        <v>9</v>
      </c>
      <c r="R837">
        <v>2</v>
      </c>
      <c r="S837" t="s">
        <v>46</v>
      </c>
    </row>
    <row r="838" spans="1:19" x14ac:dyDescent="0.3">
      <c r="A838">
        <v>835</v>
      </c>
      <c r="B838" t="s">
        <v>1267</v>
      </c>
      <c r="C838" s="6">
        <v>46126</v>
      </c>
      <c r="D838" s="2" t="str">
        <f t="shared" si="26"/>
        <v>April</v>
      </c>
      <c r="E838" t="s">
        <v>788</v>
      </c>
      <c r="F838">
        <v>49</v>
      </c>
      <c r="G838" t="str">
        <f t="shared" si="27"/>
        <v>Adult</v>
      </c>
      <c r="H838" t="s">
        <v>22</v>
      </c>
      <c r="I838" t="s">
        <v>120</v>
      </c>
      <c r="J838" t="s">
        <v>24</v>
      </c>
      <c r="K838" t="s">
        <v>38</v>
      </c>
      <c r="L838" t="s">
        <v>71</v>
      </c>
      <c r="M838">
        <v>6</v>
      </c>
      <c r="N838">
        <v>4350</v>
      </c>
      <c r="O838">
        <v>26100</v>
      </c>
      <c r="P838" t="s">
        <v>61</v>
      </c>
      <c r="Q838">
        <v>7</v>
      </c>
      <c r="R838">
        <v>2</v>
      </c>
      <c r="S838" t="s">
        <v>28</v>
      </c>
    </row>
    <row r="839" spans="1:19" x14ac:dyDescent="0.3">
      <c r="A839">
        <v>836</v>
      </c>
      <c r="B839" t="s">
        <v>1268</v>
      </c>
      <c r="C839" s="6">
        <v>46127</v>
      </c>
      <c r="D839" s="2" t="str">
        <f t="shared" si="26"/>
        <v>April</v>
      </c>
      <c r="E839" t="s">
        <v>545</v>
      </c>
      <c r="F839">
        <v>26</v>
      </c>
      <c r="G839" t="str">
        <f t="shared" si="27"/>
        <v>Teenager</v>
      </c>
      <c r="H839" t="s">
        <v>42</v>
      </c>
      <c r="I839" t="s">
        <v>43</v>
      </c>
      <c r="J839" t="s">
        <v>65</v>
      </c>
      <c r="K839" t="s">
        <v>44</v>
      </c>
      <c r="L839" t="s">
        <v>91</v>
      </c>
      <c r="M839">
        <v>7</v>
      </c>
      <c r="N839">
        <v>40111</v>
      </c>
      <c r="O839">
        <v>280777</v>
      </c>
      <c r="P839" t="s">
        <v>116</v>
      </c>
      <c r="Q839">
        <v>5</v>
      </c>
      <c r="R839">
        <v>4</v>
      </c>
      <c r="S839" t="s">
        <v>28</v>
      </c>
    </row>
    <row r="840" spans="1:19" x14ac:dyDescent="0.3">
      <c r="A840">
        <v>837</v>
      </c>
      <c r="B840" t="s">
        <v>1269</v>
      </c>
      <c r="C840" s="6">
        <v>46128</v>
      </c>
      <c r="D840" s="2" t="str">
        <f t="shared" si="26"/>
        <v>April</v>
      </c>
      <c r="E840" t="s">
        <v>1270</v>
      </c>
      <c r="F840">
        <v>42</v>
      </c>
      <c r="G840" t="str">
        <f t="shared" si="27"/>
        <v>Adult</v>
      </c>
      <c r="H840" t="s">
        <v>22</v>
      </c>
      <c r="I840" t="s">
        <v>49</v>
      </c>
      <c r="J840" t="s">
        <v>24</v>
      </c>
      <c r="K840" t="s">
        <v>38</v>
      </c>
      <c r="L840" t="s">
        <v>135</v>
      </c>
      <c r="M840">
        <v>4</v>
      </c>
      <c r="N840">
        <v>40869</v>
      </c>
      <c r="O840">
        <v>163476</v>
      </c>
      <c r="P840" t="s">
        <v>27</v>
      </c>
      <c r="Q840">
        <v>4</v>
      </c>
      <c r="R840">
        <v>3</v>
      </c>
      <c r="S840" t="s">
        <v>46</v>
      </c>
    </row>
    <row r="841" spans="1:19" x14ac:dyDescent="0.3">
      <c r="A841">
        <v>838</v>
      </c>
      <c r="B841" t="s">
        <v>1271</v>
      </c>
      <c r="C841" s="6">
        <v>46129</v>
      </c>
      <c r="D841" s="2" t="str">
        <f t="shared" si="26"/>
        <v>April</v>
      </c>
      <c r="E841" t="s">
        <v>938</v>
      </c>
      <c r="F841">
        <v>54</v>
      </c>
      <c r="G841" t="str">
        <f t="shared" si="27"/>
        <v>Senior</v>
      </c>
      <c r="H841" t="s">
        <v>22</v>
      </c>
      <c r="I841" t="s">
        <v>102</v>
      </c>
      <c r="J841" t="s">
        <v>65</v>
      </c>
      <c r="K841" t="s">
        <v>33</v>
      </c>
      <c r="L841" t="s">
        <v>173</v>
      </c>
      <c r="M841">
        <v>10</v>
      </c>
      <c r="N841">
        <v>1992</v>
      </c>
      <c r="O841">
        <v>19920</v>
      </c>
      <c r="P841" t="s">
        <v>27</v>
      </c>
      <c r="Q841">
        <v>2</v>
      </c>
      <c r="R841">
        <v>3</v>
      </c>
      <c r="S841" t="s">
        <v>46</v>
      </c>
    </row>
    <row r="842" spans="1:19" x14ac:dyDescent="0.3">
      <c r="A842">
        <v>839</v>
      </c>
      <c r="B842" t="s">
        <v>1272</v>
      </c>
      <c r="C842" s="6">
        <v>46130</v>
      </c>
      <c r="D842" s="2" t="str">
        <f t="shared" si="26"/>
        <v>April</v>
      </c>
      <c r="E842" t="s">
        <v>578</v>
      </c>
      <c r="F842">
        <v>56</v>
      </c>
      <c r="G842" t="str">
        <f t="shared" si="27"/>
        <v>Senior</v>
      </c>
      <c r="H842" t="s">
        <v>22</v>
      </c>
      <c r="I842" t="s">
        <v>102</v>
      </c>
      <c r="J842" t="s">
        <v>24</v>
      </c>
      <c r="K842" t="s">
        <v>44</v>
      </c>
      <c r="L842" t="s">
        <v>45</v>
      </c>
      <c r="M842">
        <v>4</v>
      </c>
      <c r="N842">
        <v>35292</v>
      </c>
      <c r="O842">
        <v>141168</v>
      </c>
      <c r="P842" t="s">
        <v>53</v>
      </c>
      <c r="Q842">
        <v>3</v>
      </c>
      <c r="R842">
        <v>3</v>
      </c>
      <c r="S842" t="s">
        <v>46</v>
      </c>
    </row>
    <row r="843" spans="1:19" x14ac:dyDescent="0.3">
      <c r="A843">
        <v>840</v>
      </c>
      <c r="B843" t="s">
        <v>1273</v>
      </c>
      <c r="C843" s="6">
        <v>46131</v>
      </c>
      <c r="D843" s="2" t="str">
        <f t="shared" si="26"/>
        <v>April</v>
      </c>
      <c r="E843" t="s">
        <v>666</v>
      </c>
      <c r="F843">
        <v>31</v>
      </c>
      <c r="G843" t="str">
        <f t="shared" si="27"/>
        <v>Adult</v>
      </c>
      <c r="H843" t="s">
        <v>42</v>
      </c>
      <c r="I843" t="s">
        <v>23</v>
      </c>
      <c r="J843" t="s">
        <v>32</v>
      </c>
      <c r="K843" t="s">
        <v>51</v>
      </c>
      <c r="L843" t="s">
        <v>111</v>
      </c>
      <c r="M843">
        <v>9</v>
      </c>
      <c r="N843">
        <v>1288</v>
      </c>
      <c r="O843">
        <v>11592</v>
      </c>
      <c r="P843" t="s">
        <v>116</v>
      </c>
      <c r="Q843">
        <v>7</v>
      </c>
      <c r="R843">
        <v>2</v>
      </c>
      <c r="S843" t="s">
        <v>28</v>
      </c>
    </row>
    <row r="844" spans="1:19" x14ac:dyDescent="0.3">
      <c r="A844">
        <v>841</v>
      </c>
      <c r="B844" t="s">
        <v>1274</v>
      </c>
      <c r="C844" s="6">
        <v>46132</v>
      </c>
      <c r="D844" s="2" t="str">
        <f t="shared" si="26"/>
        <v>April</v>
      </c>
      <c r="E844" t="s">
        <v>69</v>
      </c>
      <c r="F844">
        <v>40</v>
      </c>
      <c r="G844" t="str">
        <f t="shared" si="27"/>
        <v>Adult</v>
      </c>
      <c r="H844" t="s">
        <v>22</v>
      </c>
      <c r="I844" t="s">
        <v>49</v>
      </c>
      <c r="J844" t="s">
        <v>50</v>
      </c>
      <c r="K844" t="s">
        <v>33</v>
      </c>
      <c r="L844" t="s">
        <v>173</v>
      </c>
      <c r="M844">
        <v>7</v>
      </c>
      <c r="N844">
        <v>30430</v>
      </c>
      <c r="O844">
        <v>213010</v>
      </c>
      <c r="P844" t="s">
        <v>99</v>
      </c>
      <c r="Q844">
        <v>9</v>
      </c>
      <c r="R844">
        <v>1</v>
      </c>
      <c r="S844" t="s">
        <v>28</v>
      </c>
    </row>
    <row r="845" spans="1:19" x14ac:dyDescent="0.3">
      <c r="A845">
        <v>842</v>
      </c>
      <c r="B845" t="s">
        <v>1275</v>
      </c>
      <c r="C845" s="6">
        <v>46133</v>
      </c>
      <c r="D845" s="2" t="str">
        <f t="shared" si="26"/>
        <v>April</v>
      </c>
      <c r="E845" t="s">
        <v>580</v>
      </c>
      <c r="F845">
        <v>35</v>
      </c>
      <c r="G845" t="str">
        <f t="shared" si="27"/>
        <v>Adult</v>
      </c>
      <c r="H845" t="s">
        <v>42</v>
      </c>
      <c r="I845" t="s">
        <v>102</v>
      </c>
      <c r="J845" t="s">
        <v>65</v>
      </c>
      <c r="K845" t="s">
        <v>38</v>
      </c>
      <c r="L845" t="s">
        <v>39</v>
      </c>
      <c r="M845">
        <v>7</v>
      </c>
      <c r="N845">
        <v>6538</v>
      </c>
      <c r="O845">
        <v>45766</v>
      </c>
      <c r="P845" t="s">
        <v>53</v>
      </c>
      <c r="Q845">
        <v>6</v>
      </c>
      <c r="R845">
        <v>5</v>
      </c>
      <c r="S845" t="s">
        <v>28</v>
      </c>
    </row>
    <row r="846" spans="1:19" x14ac:dyDescent="0.3">
      <c r="A846">
        <v>843</v>
      </c>
      <c r="B846" t="s">
        <v>1276</v>
      </c>
      <c r="C846" s="6">
        <v>46134</v>
      </c>
      <c r="D846" s="2" t="str">
        <f t="shared" si="26"/>
        <v>April</v>
      </c>
      <c r="E846" t="s">
        <v>137</v>
      </c>
      <c r="F846">
        <v>19</v>
      </c>
      <c r="G846" t="str">
        <f t="shared" si="27"/>
        <v>Teenager</v>
      </c>
      <c r="H846" t="s">
        <v>42</v>
      </c>
      <c r="I846" t="s">
        <v>70</v>
      </c>
      <c r="J846" t="s">
        <v>65</v>
      </c>
      <c r="K846" t="s">
        <v>44</v>
      </c>
      <c r="L846" t="s">
        <v>178</v>
      </c>
      <c r="M846">
        <v>9</v>
      </c>
      <c r="N846">
        <v>26938</v>
      </c>
      <c r="O846">
        <v>242442</v>
      </c>
      <c r="P846" t="s">
        <v>99</v>
      </c>
      <c r="Q846">
        <v>4</v>
      </c>
      <c r="R846">
        <v>1</v>
      </c>
      <c r="S846" t="s">
        <v>28</v>
      </c>
    </row>
    <row r="847" spans="1:19" x14ac:dyDescent="0.3">
      <c r="A847">
        <v>844</v>
      </c>
      <c r="B847" t="s">
        <v>1277</v>
      </c>
      <c r="C847" s="6">
        <v>46135</v>
      </c>
      <c r="D847" s="2" t="str">
        <f t="shared" si="26"/>
        <v>April</v>
      </c>
      <c r="E847" t="s">
        <v>588</v>
      </c>
      <c r="F847">
        <v>23</v>
      </c>
      <c r="G847" t="str">
        <f t="shared" si="27"/>
        <v>Teenager</v>
      </c>
      <c r="H847" t="s">
        <v>42</v>
      </c>
      <c r="I847" t="s">
        <v>37</v>
      </c>
      <c r="J847" t="s">
        <v>50</v>
      </c>
      <c r="K847" t="s">
        <v>33</v>
      </c>
      <c r="L847" t="s">
        <v>173</v>
      </c>
      <c r="M847">
        <v>9</v>
      </c>
      <c r="N847">
        <v>31395</v>
      </c>
      <c r="O847">
        <v>282555</v>
      </c>
      <c r="P847" t="s">
        <v>99</v>
      </c>
      <c r="Q847">
        <v>1</v>
      </c>
      <c r="R847">
        <v>2</v>
      </c>
      <c r="S847" t="s">
        <v>46</v>
      </c>
    </row>
    <row r="848" spans="1:19" x14ac:dyDescent="0.3">
      <c r="A848">
        <v>845</v>
      </c>
      <c r="B848" t="s">
        <v>1278</v>
      </c>
      <c r="C848" s="6">
        <v>46136</v>
      </c>
      <c r="D848" s="2" t="str">
        <f t="shared" si="26"/>
        <v>April</v>
      </c>
      <c r="E848" t="s">
        <v>490</v>
      </c>
      <c r="F848">
        <v>54</v>
      </c>
      <c r="G848" t="str">
        <f t="shared" si="27"/>
        <v>Senior</v>
      </c>
      <c r="H848" t="s">
        <v>42</v>
      </c>
      <c r="I848" t="s">
        <v>37</v>
      </c>
      <c r="J848" t="s">
        <v>65</v>
      </c>
      <c r="K848" t="s">
        <v>38</v>
      </c>
      <c r="L848" t="s">
        <v>81</v>
      </c>
      <c r="M848">
        <v>6</v>
      </c>
      <c r="N848">
        <v>3579</v>
      </c>
      <c r="O848">
        <v>21474</v>
      </c>
      <c r="P848" t="s">
        <v>99</v>
      </c>
      <c r="Q848">
        <v>7</v>
      </c>
      <c r="R848">
        <v>3</v>
      </c>
      <c r="S848" t="s">
        <v>28</v>
      </c>
    </row>
    <row r="849" spans="1:19" x14ac:dyDescent="0.3">
      <c r="A849">
        <v>846</v>
      </c>
      <c r="B849" t="s">
        <v>1279</v>
      </c>
      <c r="C849" s="6">
        <v>46137</v>
      </c>
      <c r="D849" s="2" t="str">
        <f t="shared" si="26"/>
        <v>April</v>
      </c>
      <c r="E849" t="s">
        <v>412</v>
      </c>
      <c r="F849">
        <v>19</v>
      </c>
      <c r="G849" t="str">
        <f t="shared" si="27"/>
        <v>Teenager</v>
      </c>
      <c r="H849" t="s">
        <v>22</v>
      </c>
      <c r="I849" t="s">
        <v>43</v>
      </c>
      <c r="J849" t="s">
        <v>50</v>
      </c>
      <c r="K849" t="s">
        <v>51</v>
      </c>
      <c r="L849" t="s">
        <v>111</v>
      </c>
      <c r="M849">
        <v>2</v>
      </c>
      <c r="N849">
        <v>1705</v>
      </c>
      <c r="O849">
        <v>3410</v>
      </c>
      <c r="P849" t="s">
        <v>27</v>
      </c>
      <c r="Q849">
        <v>2</v>
      </c>
      <c r="R849">
        <v>2</v>
      </c>
      <c r="S849" t="s">
        <v>28</v>
      </c>
    </row>
    <row r="850" spans="1:19" x14ac:dyDescent="0.3">
      <c r="A850">
        <v>847</v>
      </c>
      <c r="B850" t="s">
        <v>1280</v>
      </c>
      <c r="C850" s="6">
        <v>46138</v>
      </c>
      <c r="D850" s="2" t="str">
        <f t="shared" si="26"/>
        <v>April</v>
      </c>
      <c r="E850" t="s">
        <v>467</v>
      </c>
      <c r="F850">
        <v>30</v>
      </c>
      <c r="G850" t="str">
        <f t="shared" si="27"/>
        <v>Adult</v>
      </c>
      <c r="H850" t="s">
        <v>22</v>
      </c>
      <c r="I850" t="s">
        <v>37</v>
      </c>
      <c r="J850" t="s">
        <v>24</v>
      </c>
      <c r="K850" t="s">
        <v>44</v>
      </c>
      <c r="L850" t="s">
        <v>224</v>
      </c>
      <c r="M850">
        <v>7</v>
      </c>
      <c r="N850">
        <v>47720</v>
      </c>
      <c r="O850">
        <v>334040</v>
      </c>
      <c r="P850" t="s">
        <v>116</v>
      </c>
      <c r="Q850">
        <v>9</v>
      </c>
      <c r="R850">
        <v>5</v>
      </c>
      <c r="S850" t="s">
        <v>28</v>
      </c>
    </row>
    <row r="851" spans="1:19" x14ac:dyDescent="0.3">
      <c r="A851">
        <v>848</v>
      </c>
      <c r="B851" t="s">
        <v>1281</v>
      </c>
      <c r="C851" s="6">
        <v>46139</v>
      </c>
      <c r="D851" s="2" t="str">
        <f t="shared" si="26"/>
        <v>April</v>
      </c>
      <c r="E851" t="s">
        <v>188</v>
      </c>
      <c r="F851">
        <v>56</v>
      </c>
      <c r="G851" t="str">
        <f t="shared" si="27"/>
        <v>Senior</v>
      </c>
      <c r="H851" t="s">
        <v>22</v>
      </c>
      <c r="I851" t="s">
        <v>70</v>
      </c>
      <c r="J851" t="s">
        <v>65</v>
      </c>
      <c r="K851" t="s">
        <v>25</v>
      </c>
      <c r="L851" t="s">
        <v>189</v>
      </c>
      <c r="M851">
        <v>10</v>
      </c>
      <c r="N851">
        <v>43624</v>
      </c>
      <c r="O851">
        <v>436240</v>
      </c>
      <c r="P851" t="s">
        <v>116</v>
      </c>
      <c r="Q851">
        <v>1</v>
      </c>
      <c r="R851">
        <v>1</v>
      </c>
      <c r="S851" t="s">
        <v>46</v>
      </c>
    </row>
    <row r="852" spans="1:19" x14ac:dyDescent="0.3">
      <c r="A852">
        <v>849</v>
      </c>
      <c r="B852" t="s">
        <v>1282</v>
      </c>
      <c r="C852" s="6">
        <v>46140</v>
      </c>
      <c r="D852" s="2" t="str">
        <f t="shared" si="26"/>
        <v>April</v>
      </c>
      <c r="E852" t="s">
        <v>1283</v>
      </c>
      <c r="F852">
        <v>43</v>
      </c>
      <c r="G852" t="str">
        <f t="shared" si="27"/>
        <v>Adult</v>
      </c>
      <c r="H852" t="s">
        <v>42</v>
      </c>
      <c r="I852" t="s">
        <v>70</v>
      </c>
      <c r="J852" t="s">
        <v>65</v>
      </c>
      <c r="K852" t="s">
        <v>44</v>
      </c>
      <c r="L852" t="s">
        <v>178</v>
      </c>
      <c r="M852">
        <v>5</v>
      </c>
      <c r="N852">
        <v>30184</v>
      </c>
      <c r="O852">
        <v>150920</v>
      </c>
      <c r="P852" t="s">
        <v>116</v>
      </c>
      <c r="Q852">
        <v>10</v>
      </c>
      <c r="R852">
        <v>2</v>
      </c>
      <c r="S852" t="s">
        <v>28</v>
      </c>
    </row>
    <row r="853" spans="1:19" x14ac:dyDescent="0.3">
      <c r="A853">
        <v>850</v>
      </c>
      <c r="B853" t="s">
        <v>1284</v>
      </c>
      <c r="C853" s="6">
        <v>46141</v>
      </c>
      <c r="D853" s="2" t="str">
        <f t="shared" si="26"/>
        <v>April</v>
      </c>
      <c r="E853" t="s">
        <v>615</v>
      </c>
      <c r="F853">
        <v>27</v>
      </c>
      <c r="G853" t="str">
        <f t="shared" si="27"/>
        <v>Teenager</v>
      </c>
      <c r="H853" t="s">
        <v>42</v>
      </c>
      <c r="I853" t="s">
        <v>102</v>
      </c>
      <c r="J853" t="s">
        <v>32</v>
      </c>
      <c r="K853" t="s">
        <v>38</v>
      </c>
      <c r="L853" t="s">
        <v>135</v>
      </c>
      <c r="M853">
        <v>10</v>
      </c>
      <c r="N853">
        <v>6881</v>
      </c>
      <c r="O853">
        <v>68810</v>
      </c>
      <c r="P853" t="s">
        <v>116</v>
      </c>
      <c r="Q853">
        <v>7</v>
      </c>
      <c r="R853">
        <v>4</v>
      </c>
      <c r="S853" t="s">
        <v>46</v>
      </c>
    </row>
    <row r="854" spans="1:19" x14ac:dyDescent="0.3">
      <c r="A854">
        <v>851</v>
      </c>
      <c r="B854" t="s">
        <v>1285</v>
      </c>
      <c r="C854" s="6">
        <v>46142</v>
      </c>
      <c r="D854" s="2" t="str">
        <f t="shared" si="26"/>
        <v>April</v>
      </c>
      <c r="E854" t="s">
        <v>1129</v>
      </c>
      <c r="F854">
        <v>20</v>
      </c>
      <c r="G854" t="str">
        <f t="shared" si="27"/>
        <v>Teenager</v>
      </c>
      <c r="H854" t="s">
        <v>42</v>
      </c>
      <c r="I854" t="s">
        <v>102</v>
      </c>
      <c r="J854" t="s">
        <v>50</v>
      </c>
      <c r="K854" t="s">
        <v>33</v>
      </c>
      <c r="L854" t="s">
        <v>89</v>
      </c>
      <c r="M854">
        <v>9</v>
      </c>
      <c r="N854">
        <v>5114</v>
      </c>
      <c r="O854">
        <v>46026</v>
      </c>
      <c r="P854" t="s">
        <v>116</v>
      </c>
      <c r="Q854">
        <v>8</v>
      </c>
      <c r="R854">
        <v>5</v>
      </c>
      <c r="S854" t="s">
        <v>28</v>
      </c>
    </row>
    <row r="855" spans="1:19" x14ac:dyDescent="0.3">
      <c r="A855">
        <v>852</v>
      </c>
      <c r="B855" t="s">
        <v>1286</v>
      </c>
      <c r="C855" s="6">
        <v>46143</v>
      </c>
      <c r="D855" s="2" t="str">
        <f t="shared" si="26"/>
        <v>May</v>
      </c>
      <c r="E855" t="s">
        <v>180</v>
      </c>
      <c r="F855">
        <v>24</v>
      </c>
      <c r="G855" t="str">
        <f t="shared" si="27"/>
        <v>Teenager</v>
      </c>
      <c r="H855" t="s">
        <v>42</v>
      </c>
      <c r="I855" t="s">
        <v>49</v>
      </c>
      <c r="J855" t="s">
        <v>50</v>
      </c>
      <c r="K855" t="s">
        <v>44</v>
      </c>
      <c r="L855" t="s">
        <v>91</v>
      </c>
      <c r="M855">
        <v>5</v>
      </c>
      <c r="N855">
        <v>5341</v>
      </c>
      <c r="O855">
        <v>26705</v>
      </c>
      <c r="P855" t="s">
        <v>116</v>
      </c>
      <c r="Q855">
        <v>3</v>
      </c>
      <c r="R855">
        <v>5</v>
      </c>
      <c r="S855" t="s">
        <v>46</v>
      </c>
    </row>
    <row r="856" spans="1:19" x14ac:dyDescent="0.3">
      <c r="A856">
        <v>853</v>
      </c>
      <c r="B856" t="s">
        <v>1287</v>
      </c>
      <c r="C856" s="6">
        <v>46144</v>
      </c>
      <c r="D856" s="2" t="str">
        <f t="shared" si="26"/>
        <v>May</v>
      </c>
      <c r="E856" t="s">
        <v>1039</v>
      </c>
      <c r="F856">
        <v>23</v>
      </c>
      <c r="G856" t="str">
        <f t="shared" si="27"/>
        <v>Teenager</v>
      </c>
      <c r="H856" t="s">
        <v>22</v>
      </c>
      <c r="I856" t="s">
        <v>49</v>
      </c>
      <c r="J856" t="s">
        <v>65</v>
      </c>
      <c r="K856" t="s">
        <v>51</v>
      </c>
      <c r="L856" t="s">
        <v>111</v>
      </c>
      <c r="M856">
        <v>8</v>
      </c>
      <c r="N856">
        <v>1748</v>
      </c>
      <c r="O856">
        <v>13984</v>
      </c>
      <c r="P856" t="s">
        <v>116</v>
      </c>
      <c r="Q856">
        <v>1</v>
      </c>
      <c r="R856">
        <v>5</v>
      </c>
      <c r="S856" t="s">
        <v>28</v>
      </c>
    </row>
    <row r="857" spans="1:19" x14ac:dyDescent="0.3">
      <c r="A857">
        <v>854</v>
      </c>
      <c r="B857" t="s">
        <v>1288</v>
      </c>
      <c r="C857" s="6">
        <v>46145</v>
      </c>
      <c r="D857" s="2" t="str">
        <f t="shared" si="26"/>
        <v>May</v>
      </c>
      <c r="E857" t="s">
        <v>141</v>
      </c>
      <c r="F857">
        <v>60</v>
      </c>
      <c r="G857" t="str">
        <f t="shared" si="27"/>
        <v>Senior</v>
      </c>
      <c r="H857" t="s">
        <v>22</v>
      </c>
      <c r="I857" t="s">
        <v>80</v>
      </c>
      <c r="J857" t="s">
        <v>32</v>
      </c>
      <c r="K857" t="s">
        <v>38</v>
      </c>
      <c r="L857" t="s">
        <v>71</v>
      </c>
      <c r="M857">
        <v>3</v>
      </c>
      <c r="N857">
        <v>21063</v>
      </c>
      <c r="O857">
        <v>63189</v>
      </c>
      <c r="P857" t="s">
        <v>116</v>
      </c>
      <c r="Q857">
        <v>7</v>
      </c>
      <c r="R857">
        <v>3</v>
      </c>
      <c r="S857" t="s">
        <v>28</v>
      </c>
    </row>
    <row r="858" spans="1:19" x14ac:dyDescent="0.3">
      <c r="A858">
        <v>855</v>
      </c>
      <c r="B858" t="s">
        <v>1289</v>
      </c>
      <c r="C858" s="6">
        <v>46146</v>
      </c>
      <c r="D858" s="2" t="str">
        <f t="shared" si="26"/>
        <v>May</v>
      </c>
      <c r="E858" t="s">
        <v>445</v>
      </c>
      <c r="F858">
        <v>58</v>
      </c>
      <c r="G858" t="str">
        <f t="shared" si="27"/>
        <v>Senior</v>
      </c>
      <c r="H858" t="s">
        <v>42</v>
      </c>
      <c r="I858" t="s">
        <v>31</v>
      </c>
      <c r="J858" t="s">
        <v>32</v>
      </c>
      <c r="K858" t="s">
        <v>25</v>
      </c>
      <c r="L858" t="s">
        <v>77</v>
      </c>
      <c r="M858">
        <v>7</v>
      </c>
      <c r="N858">
        <v>17891</v>
      </c>
      <c r="O858">
        <v>125237</v>
      </c>
      <c r="P858" t="s">
        <v>61</v>
      </c>
      <c r="Q858">
        <v>4</v>
      </c>
      <c r="R858">
        <v>3</v>
      </c>
      <c r="S858" t="s">
        <v>46</v>
      </c>
    </row>
    <row r="859" spans="1:19" x14ac:dyDescent="0.3">
      <c r="A859">
        <v>856</v>
      </c>
      <c r="B859" t="s">
        <v>1290</v>
      </c>
      <c r="C859" s="6">
        <v>46147</v>
      </c>
      <c r="D859" s="2" t="str">
        <f t="shared" si="26"/>
        <v>May</v>
      </c>
      <c r="E859" t="s">
        <v>269</v>
      </c>
      <c r="F859">
        <v>47</v>
      </c>
      <c r="G859" t="str">
        <f t="shared" si="27"/>
        <v>Adult</v>
      </c>
      <c r="H859" t="s">
        <v>22</v>
      </c>
      <c r="I859" t="s">
        <v>64</v>
      </c>
      <c r="J859" t="s">
        <v>24</v>
      </c>
      <c r="K859" t="s">
        <v>33</v>
      </c>
      <c r="L859" t="s">
        <v>153</v>
      </c>
      <c r="M859">
        <v>6</v>
      </c>
      <c r="N859">
        <v>31568</v>
      </c>
      <c r="O859">
        <v>189408</v>
      </c>
      <c r="P859" t="s">
        <v>27</v>
      </c>
      <c r="Q859">
        <v>3</v>
      </c>
      <c r="R859">
        <v>3</v>
      </c>
      <c r="S859" t="s">
        <v>28</v>
      </c>
    </row>
    <row r="860" spans="1:19" x14ac:dyDescent="0.3">
      <c r="A860">
        <v>857</v>
      </c>
      <c r="B860" t="s">
        <v>1291</v>
      </c>
      <c r="C860" s="6">
        <v>46148</v>
      </c>
      <c r="D860" s="2" t="str">
        <f t="shared" si="26"/>
        <v>May</v>
      </c>
      <c r="E860" t="s">
        <v>715</v>
      </c>
      <c r="F860">
        <v>52</v>
      </c>
      <c r="G860" t="str">
        <f t="shared" si="27"/>
        <v>Senior</v>
      </c>
      <c r="H860" t="s">
        <v>22</v>
      </c>
      <c r="I860" t="s">
        <v>80</v>
      </c>
      <c r="J860" t="s">
        <v>32</v>
      </c>
      <c r="K860" t="s">
        <v>51</v>
      </c>
      <c r="L860" t="s">
        <v>60</v>
      </c>
      <c r="M860">
        <v>6</v>
      </c>
      <c r="N860">
        <v>1023</v>
      </c>
      <c r="O860">
        <v>6138</v>
      </c>
      <c r="P860" t="s">
        <v>53</v>
      </c>
      <c r="Q860">
        <v>5</v>
      </c>
      <c r="R860">
        <v>1</v>
      </c>
      <c r="S860" t="s">
        <v>46</v>
      </c>
    </row>
    <row r="861" spans="1:19" x14ac:dyDescent="0.3">
      <c r="A861">
        <v>858</v>
      </c>
      <c r="B861" t="s">
        <v>1292</v>
      </c>
      <c r="C861" s="6">
        <v>46149</v>
      </c>
      <c r="D861" s="2" t="str">
        <f t="shared" si="26"/>
        <v>May</v>
      </c>
      <c r="E861" t="s">
        <v>702</v>
      </c>
      <c r="F861">
        <v>48</v>
      </c>
      <c r="G861" t="str">
        <f t="shared" si="27"/>
        <v>Adult</v>
      </c>
      <c r="H861" t="s">
        <v>42</v>
      </c>
      <c r="I861" t="s">
        <v>23</v>
      </c>
      <c r="J861" t="s">
        <v>65</v>
      </c>
      <c r="K861" t="s">
        <v>38</v>
      </c>
      <c r="L861" t="s">
        <v>96</v>
      </c>
      <c r="M861">
        <v>4</v>
      </c>
      <c r="N861">
        <v>11823</v>
      </c>
      <c r="O861">
        <v>47292</v>
      </c>
      <c r="P861" t="s">
        <v>61</v>
      </c>
      <c r="Q861">
        <v>1</v>
      </c>
      <c r="R861">
        <v>2</v>
      </c>
      <c r="S861" t="s">
        <v>46</v>
      </c>
    </row>
    <row r="862" spans="1:19" x14ac:dyDescent="0.3">
      <c r="A862">
        <v>859</v>
      </c>
      <c r="B862" t="s">
        <v>1293</v>
      </c>
      <c r="C862" s="6">
        <v>46150</v>
      </c>
      <c r="D862" s="2" t="str">
        <f t="shared" si="26"/>
        <v>May</v>
      </c>
      <c r="E862" t="s">
        <v>141</v>
      </c>
      <c r="F862">
        <v>38</v>
      </c>
      <c r="G862" t="str">
        <f t="shared" si="27"/>
        <v>Adult</v>
      </c>
      <c r="H862" t="s">
        <v>22</v>
      </c>
      <c r="I862" t="s">
        <v>49</v>
      </c>
      <c r="J862" t="s">
        <v>65</v>
      </c>
      <c r="K862" t="s">
        <v>51</v>
      </c>
      <c r="L862" t="s">
        <v>74</v>
      </c>
      <c r="M862">
        <v>10</v>
      </c>
      <c r="N862">
        <v>1435</v>
      </c>
      <c r="O862">
        <v>14350</v>
      </c>
      <c r="P862" t="s">
        <v>61</v>
      </c>
      <c r="Q862">
        <v>7</v>
      </c>
      <c r="R862">
        <v>4</v>
      </c>
      <c r="S862" t="s">
        <v>28</v>
      </c>
    </row>
    <row r="863" spans="1:19" x14ac:dyDescent="0.3">
      <c r="A863">
        <v>860</v>
      </c>
      <c r="B863" t="s">
        <v>1294</v>
      </c>
      <c r="C863" s="6">
        <v>46151</v>
      </c>
      <c r="D863" s="2" t="str">
        <f t="shared" si="26"/>
        <v>May</v>
      </c>
      <c r="E863" t="s">
        <v>603</v>
      </c>
      <c r="F863">
        <v>54</v>
      </c>
      <c r="G863" t="str">
        <f t="shared" si="27"/>
        <v>Senior</v>
      </c>
      <c r="H863" t="s">
        <v>42</v>
      </c>
      <c r="I863" t="s">
        <v>120</v>
      </c>
      <c r="J863" t="s">
        <v>32</v>
      </c>
      <c r="K863" t="s">
        <v>33</v>
      </c>
      <c r="L863" t="s">
        <v>89</v>
      </c>
      <c r="M863">
        <v>5</v>
      </c>
      <c r="N863">
        <v>11705</v>
      </c>
      <c r="O863">
        <v>58525</v>
      </c>
      <c r="P863" t="s">
        <v>27</v>
      </c>
      <c r="Q863">
        <v>1</v>
      </c>
      <c r="R863">
        <v>1</v>
      </c>
      <c r="S863" t="s">
        <v>46</v>
      </c>
    </row>
    <row r="864" spans="1:19" x14ac:dyDescent="0.3">
      <c r="A864">
        <v>861</v>
      </c>
      <c r="B864" t="s">
        <v>1295</v>
      </c>
      <c r="C864" s="6">
        <v>46152</v>
      </c>
      <c r="D864" s="2" t="str">
        <f t="shared" si="26"/>
        <v>May</v>
      </c>
      <c r="E864" t="s">
        <v>449</v>
      </c>
      <c r="F864">
        <v>36</v>
      </c>
      <c r="G864" t="str">
        <f t="shared" si="27"/>
        <v>Adult</v>
      </c>
      <c r="H864" t="s">
        <v>22</v>
      </c>
      <c r="I864" t="s">
        <v>102</v>
      </c>
      <c r="J864" t="s">
        <v>32</v>
      </c>
      <c r="K864" t="s">
        <v>44</v>
      </c>
      <c r="L864" t="s">
        <v>224</v>
      </c>
      <c r="M864">
        <v>6</v>
      </c>
      <c r="N864">
        <v>48198</v>
      </c>
      <c r="O864">
        <v>289188</v>
      </c>
      <c r="P864" t="s">
        <v>27</v>
      </c>
      <c r="Q864">
        <v>5</v>
      </c>
      <c r="R864">
        <v>5</v>
      </c>
      <c r="S864" t="s">
        <v>46</v>
      </c>
    </row>
    <row r="865" spans="1:19" x14ac:dyDescent="0.3">
      <c r="A865">
        <v>862</v>
      </c>
      <c r="B865" t="s">
        <v>1296</v>
      </c>
      <c r="C865" s="6">
        <v>46153</v>
      </c>
      <c r="D865" s="2" t="str">
        <f t="shared" si="26"/>
        <v>May</v>
      </c>
      <c r="E865" t="s">
        <v>333</v>
      </c>
      <c r="F865">
        <v>57</v>
      </c>
      <c r="G865" t="str">
        <f t="shared" si="27"/>
        <v>Senior</v>
      </c>
      <c r="H865" t="s">
        <v>42</v>
      </c>
      <c r="I865" t="s">
        <v>102</v>
      </c>
      <c r="J865" t="s">
        <v>32</v>
      </c>
      <c r="K865" t="s">
        <v>25</v>
      </c>
      <c r="L865" t="s">
        <v>124</v>
      </c>
      <c r="M865">
        <v>3</v>
      </c>
      <c r="N865">
        <v>26498</v>
      </c>
      <c r="O865">
        <v>79494</v>
      </c>
      <c r="P865" t="s">
        <v>99</v>
      </c>
      <c r="Q865">
        <v>5</v>
      </c>
      <c r="R865">
        <v>2</v>
      </c>
      <c r="S865" t="s">
        <v>46</v>
      </c>
    </row>
    <row r="866" spans="1:19" x14ac:dyDescent="0.3">
      <c r="A866">
        <v>863</v>
      </c>
      <c r="B866" t="s">
        <v>1297</v>
      </c>
      <c r="C866" s="6">
        <v>46154</v>
      </c>
      <c r="D866" s="2" t="str">
        <f t="shared" si="26"/>
        <v>May</v>
      </c>
      <c r="E866" t="s">
        <v>36</v>
      </c>
      <c r="F866">
        <v>23</v>
      </c>
      <c r="G866" t="str">
        <f t="shared" si="27"/>
        <v>Teenager</v>
      </c>
      <c r="H866" t="s">
        <v>22</v>
      </c>
      <c r="I866" t="s">
        <v>37</v>
      </c>
      <c r="J866" t="s">
        <v>24</v>
      </c>
      <c r="K866" t="s">
        <v>33</v>
      </c>
      <c r="L866" t="s">
        <v>153</v>
      </c>
      <c r="M866">
        <v>6</v>
      </c>
      <c r="N866">
        <v>6588</v>
      </c>
      <c r="O866">
        <v>39528</v>
      </c>
      <c r="P866" t="s">
        <v>61</v>
      </c>
      <c r="Q866">
        <v>5</v>
      </c>
      <c r="R866">
        <v>2</v>
      </c>
      <c r="S866" t="s">
        <v>46</v>
      </c>
    </row>
    <row r="867" spans="1:19" x14ac:dyDescent="0.3">
      <c r="A867">
        <v>864</v>
      </c>
      <c r="B867" t="s">
        <v>1298</v>
      </c>
      <c r="C867" s="6">
        <v>46155</v>
      </c>
      <c r="D867" s="2" t="str">
        <f t="shared" si="26"/>
        <v>May</v>
      </c>
      <c r="E867" t="s">
        <v>804</v>
      </c>
      <c r="F867">
        <v>35</v>
      </c>
      <c r="G867" t="str">
        <f t="shared" si="27"/>
        <v>Adult</v>
      </c>
      <c r="H867" t="s">
        <v>42</v>
      </c>
      <c r="I867" t="s">
        <v>120</v>
      </c>
      <c r="J867" t="s">
        <v>65</v>
      </c>
      <c r="K867" t="s">
        <v>33</v>
      </c>
      <c r="L867" t="s">
        <v>34</v>
      </c>
      <c r="M867">
        <v>4</v>
      </c>
      <c r="N867">
        <v>18078</v>
      </c>
      <c r="O867">
        <v>72312</v>
      </c>
      <c r="P867" t="s">
        <v>116</v>
      </c>
      <c r="Q867">
        <v>3</v>
      </c>
      <c r="R867">
        <v>3</v>
      </c>
      <c r="S867" t="s">
        <v>28</v>
      </c>
    </row>
    <row r="868" spans="1:19" x14ac:dyDescent="0.3">
      <c r="A868">
        <v>865</v>
      </c>
      <c r="B868" t="s">
        <v>1299</v>
      </c>
      <c r="C868" s="6">
        <v>46156</v>
      </c>
      <c r="D868" s="2" t="str">
        <f t="shared" si="26"/>
        <v>May</v>
      </c>
      <c r="E868" t="s">
        <v>319</v>
      </c>
      <c r="F868">
        <v>52</v>
      </c>
      <c r="G868" t="str">
        <f t="shared" si="27"/>
        <v>Senior</v>
      </c>
      <c r="H868" t="s">
        <v>22</v>
      </c>
      <c r="I868" t="s">
        <v>23</v>
      </c>
      <c r="J868" t="s">
        <v>32</v>
      </c>
      <c r="K868" t="s">
        <v>25</v>
      </c>
      <c r="L868" t="s">
        <v>26</v>
      </c>
      <c r="M868">
        <v>9</v>
      </c>
      <c r="N868">
        <v>14895</v>
      </c>
      <c r="O868">
        <v>134055</v>
      </c>
      <c r="P868" t="s">
        <v>99</v>
      </c>
      <c r="Q868">
        <v>4</v>
      </c>
      <c r="R868">
        <v>2</v>
      </c>
      <c r="S868" t="s">
        <v>46</v>
      </c>
    </row>
    <row r="869" spans="1:19" x14ac:dyDescent="0.3">
      <c r="A869">
        <v>866</v>
      </c>
      <c r="B869" t="s">
        <v>1300</v>
      </c>
      <c r="C869" s="6">
        <v>46157</v>
      </c>
      <c r="D869" s="2" t="str">
        <f t="shared" si="26"/>
        <v>May</v>
      </c>
      <c r="E869" t="s">
        <v>1083</v>
      </c>
      <c r="F869">
        <v>28</v>
      </c>
      <c r="G869" t="str">
        <f t="shared" si="27"/>
        <v>Teenager</v>
      </c>
      <c r="H869" t="s">
        <v>42</v>
      </c>
      <c r="I869" t="s">
        <v>102</v>
      </c>
      <c r="J869" t="s">
        <v>32</v>
      </c>
      <c r="K869" t="s">
        <v>38</v>
      </c>
      <c r="L869" t="s">
        <v>81</v>
      </c>
      <c r="M869">
        <v>6</v>
      </c>
      <c r="N869">
        <v>35083</v>
      </c>
      <c r="O869">
        <v>210498</v>
      </c>
      <c r="P869" t="s">
        <v>53</v>
      </c>
      <c r="Q869">
        <v>10</v>
      </c>
      <c r="R869">
        <v>5</v>
      </c>
      <c r="S869" t="s">
        <v>46</v>
      </c>
    </row>
    <row r="870" spans="1:19" x14ac:dyDescent="0.3">
      <c r="A870">
        <v>867</v>
      </c>
      <c r="B870" t="s">
        <v>1301</v>
      </c>
      <c r="C870" s="6">
        <v>46158</v>
      </c>
      <c r="D870" s="2" t="str">
        <f t="shared" si="26"/>
        <v>May</v>
      </c>
      <c r="E870" t="s">
        <v>286</v>
      </c>
      <c r="F870">
        <v>56</v>
      </c>
      <c r="G870" t="str">
        <f t="shared" si="27"/>
        <v>Senior</v>
      </c>
      <c r="H870" t="s">
        <v>42</v>
      </c>
      <c r="I870" t="s">
        <v>43</v>
      </c>
      <c r="J870" t="s">
        <v>32</v>
      </c>
      <c r="K870" t="s">
        <v>38</v>
      </c>
      <c r="L870" t="s">
        <v>96</v>
      </c>
      <c r="M870">
        <v>5</v>
      </c>
      <c r="N870">
        <v>19504</v>
      </c>
      <c r="O870">
        <v>97520</v>
      </c>
      <c r="P870" t="s">
        <v>27</v>
      </c>
      <c r="Q870">
        <v>2</v>
      </c>
      <c r="R870">
        <v>4</v>
      </c>
      <c r="S870" t="s">
        <v>28</v>
      </c>
    </row>
    <row r="871" spans="1:19" x14ac:dyDescent="0.3">
      <c r="A871">
        <v>868</v>
      </c>
      <c r="B871" t="s">
        <v>1302</v>
      </c>
      <c r="C871" s="6">
        <v>46159</v>
      </c>
      <c r="D871" s="2" t="str">
        <f t="shared" si="26"/>
        <v>May</v>
      </c>
      <c r="E871" t="s">
        <v>341</v>
      </c>
      <c r="F871">
        <v>33</v>
      </c>
      <c r="G871" t="str">
        <f t="shared" si="27"/>
        <v>Adult</v>
      </c>
      <c r="H871" t="s">
        <v>42</v>
      </c>
      <c r="I871" t="s">
        <v>64</v>
      </c>
      <c r="J871" t="s">
        <v>65</v>
      </c>
      <c r="K871" t="s">
        <v>44</v>
      </c>
      <c r="L871" t="s">
        <v>121</v>
      </c>
      <c r="M871">
        <v>8</v>
      </c>
      <c r="N871">
        <v>17266</v>
      </c>
      <c r="O871">
        <v>138128</v>
      </c>
      <c r="P871" t="s">
        <v>53</v>
      </c>
      <c r="Q871">
        <v>3</v>
      </c>
      <c r="R871">
        <v>2</v>
      </c>
      <c r="S871" t="s">
        <v>46</v>
      </c>
    </row>
    <row r="872" spans="1:19" x14ac:dyDescent="0.3">
      <c r="A872">
        <v>869</v>
      </c>
      <c r="B872" t="s">
        <v>1303</v>
      </c>
      <c r="C872" s="6">
        <v>46160</v>
      </c>
      <c r="D872" s="2" t="str">
        <f t="shared" si="26"/>
        <v>May</v>
      </c>
      <c r="E872" t="s">
        <v>256</v>
      </c>
      <c r="F872">
        <v>30</v>
      </c>
      <c r="G872" t="str">
        <f t="shared" si="27"/>
        <v>Adult</v>
      </c>
      <c r="H872" t="s">
        <v>42</v>
      </c>
      <c r="I872" t="s">
        <v>43</v>
      </c>
      <c r="J872" t="s">
        <v>65</v>
      </c>
      <c r="K872" t="s">
        <v>44</v>
      </c>
      <c r="L872" t="s">
        <v>91</v>
      </c>
      <c r="M872">
        <v>1</v>
      </c>
      <c r="N872">
        <v>19991</v>
      </c>
      <c r="O872">
        <v>19991</v>
      </c>
      <c r="P872" t="s">
        <v>61</v>
      </c>
      <c r="Q872">
        <v>5</v>
      </c>
      <c r="R872">
        <v>4</v>
      </c>
      <c r="S872" t="s">
        <v>28</v>
      </c>
    </row>
    <row r="873" spans="1:19" x14ac:dyDescent="0.3">
      <c r="A873">
        <v>870</v>
      </c>
      <c r="B873" t="s">
        <v>1304</v>
      </c>
      <c r="C873" s="6">
        <v>46161</v>
      </c>
      <c r="D873" s="2" t="str">
        <f t="shared" si="26"/>
        <v>May</v>
      </c>
      <c r="E873" t="s">
        <v>208</v>
      </c>
      <c r="F873">
        <v>44</v>
      </c>
      <c r="G873" t="str">
        <f t="shared" si="27"/>
        <v>Adult</v>
      </c>
      <c r="H873" t="s">
        <v>22</v>
      </c>
      <c r="I873" t="s">
        <v>120</v>
      </c>
      <c r="J873" t="s">
        <v>50</v>
      </c>
      <c r="K873" t="s">
        <v>44</v>
      </c>
      <c r="L873" t="s">
        <v>121</v>
      </c>
      <c r="M873">
        <v>6</v>
      </c>
      <c r="N873">
        <v>31934</v>
      </c>
      <c r="O873">
        <v>191604</v>
      </c>
      <c r="P873" t="s">
        <v>61</v>
      </c>
      <c r="Q873">
        <v>3</v>
      </c>
      <c r="R873">
        <v>3</v>
      </c>
      <c r="S873" t="s">
        <v>46</v>
      </c>
    </row>
    <row r="874" spans="1:19" x14ac:dyDescent="0.3">
      <c r="A874">
        <v>871</v>
      </c>
      <c r="B874" t="s">
        <v>1305</v>
      </c>
      <c r="C874" s="6">
        <v>46162</v>
      </c>
      <c r="D874" s="2" t="str">
        <f t="shared" si="26"/>
        <v>May</v>
      </c>
      <c r="E874" t="s">
        <v>1219</v>
      </c>
      <c r="F874">
        <v>30</v>
      </c>
      <c r="G874" t="str">
        <f t="shared" si="27"/>
        <v>Adult</v>
      </c>
      <c r="H874" t="s">
        <v>22</v>
      </c>
      <c r="I874" t="s">
        <v>43</v>
      </c>
      <c r="J874" t="s">
        <v>24</v>
      </c>
      <c r="K874" t="s">
        <v>33</v>
      </c>
      <c r="L874" t="s">
        <v>160</v>
      </c>
      <c r="M874">
        <v>1</v>
      </c>
      <c r="N874">
        <v>8165</v>
      </c>
      <c r="O874">
        <v>8165</v>
      </c>
      <c r="P874" t="s">
        <v>27</v>
      </c>
      <c r="Q874">
        <v>8</v>
      </c>
      <c r="R874">
        <v>3</v>
      </c>
      <c r="S874" t="s">
        <v>46</v>
      </c>
    </row>
    <row r="875" spans="1:19" x14ac:dyDescent="0.3">
      <c r="A875">
        <v>872</v>
      </c>
      <c r="B875" t="s">
        <v>1306</v>
      </c>
      <c r="C875" s="6">
        <v>46163</v>
      </c>
      <c r="D875" s="2" t="str">
        <f t="shared" si="26"/>
        <v>May</v>
      </c>
      <c r="E875" t="s">
        <v>354</v>
      </c>
      <c r="F875">
        <v>35</v>
      </c>
      <c r="G875" t="str">
        <f t="shared" si="27"/>
        <v>Adult</v>
      </c>
      <c r="H875" t="s">
        <v>22</v>
      </c>
      <c r="I875" t="s">
        <v>49</v>
      </c>
      <c r="J875" t="s">
        <v>24</v>
      </c>
      <c r="K875" t="s">
        <v>25</v>
      </c>
      <c r="L875" t="s">
        <v>94</v>
      </c>
      <c r="M875">
        <v>4</v>
      </c>
      <c r="N875">
        <v>25302</v>
      </c>
      <c r="O875">
        <v>101208</v>
      </c>
      <c r="P875" t="s">
        <v>116</v>
      </c>
      <c r="Q875">
        <v>4</v>
      </c>
      <c r="R875">
        <v>1</v>
      </c>
      <c r="S875" t="s">
        <v>28</v>
      </c>
    </row>
    <row r="876" spans="1:19" x14ac:dyDescent="0.3">
      <c r="A876">
        <v>873</v>
      </c>
      <c r="B876" t="s">
        <v>1307</v>
      </c>
      <c r="C876" s="6">
        <v>46164</v>
      </c>
      <c r="D876" s="2" t="str">
        <f t="shared" si="26"/>
        <v>May</v>
      </c>
      <c r="E876" t="s">
        <v>1254</v>
      </c>
      <c r="F876">
        <v>36</v>
      </c>
      <c r="G876" t="str">
        <f t="shared" si="27"/>
        <v>Adult</v>
      </c>
      <c r="H876" t="s">
        <v>42</v>
      </c>
      <c r="I876" t="s">
        <v>70</v>
      </c>
      <c r="J876" t="s">
        <v>65</v>
      </c>
      <c r="K876" t="s">
        <v>33</v>
      </c>
      <c r="L876" t="s">
        <v>89</v>
      </c>
      <c r="M876">
        <v>3</v>
      </c>
      <c r="N876">
        <v>28870</v>
      </c>
      <c r="O876">
        <v>86610</v>
      </c>
      <c r="P876" t="s">
        <v>99</v>
      </c>
      <c r="Q876">
        <v>4</v>
      </c>
      <c r="R876">
        <v>4</v>
      </c>
      <c r="S876" t="s">
        <v>28</v>
      </c>
    </row>
    <row r="877" spans="1:19" x14ac:dyDescent="0.3">
      <c r="A877">
        <v>874</v>
      </c>
      <c r="B877" t="s">
        <v>1308</v>
      </c>
      <c r="C877" s="6">
        <v>46165</v>
      </c>
      <c r="D877" s="2" t="str">
        <f t="shared" si="26"/>
        <v>May</v>
      </c>
      <c r="E877" t="s">
        <v>302</v>
      </c>
      <c r="F877">
        <v>43</v>
      </c>
      <c r="G877" t="str">
        <f t="shared" si="27"/>
        <v>Adult</v>
      </c>
      <c r="H877" t="s">
        <v>22</v>
      </c>
      <c r="I877" t="s">
        <v>70</v>
      </c>
      <c r="J877" t="s">
        <v>65</v>
      </c>
      <c r="K877" t="s">
        <v>33</v>
      </c>
      <c r="L877" t="s">
        <v>173</v>
      </c>
      <c r="M877">
        <v>8</v>
      </c>
      <c r="N877">
        <v>5149</v>
      </c>
      <c r="O877">
        <v>41192</v>
      </c>
      <c r="P877" t="s">
        <v>99</v>
      </c>
      <c r="Q877">
        <v>7</v>
      </c>
      <c r="R877">
        <v>5</v>
      </c>
      <c r="S877" t="s">
        <v>28</v>
      </c>
    </row>
    <row r="878" spans="1:19" x14ac:dyDescent="0.3">
      <c r="A878">
        <v>875</v>
      </c>
      <c r="B878" t="s">
        <v>1309</v>
      </c>
      <c r="C878" s="6">
        <v>46166</v>
      </c>
      <c r="D878" s="2" t="str">
        <f t="shared" si="26"/>
        <v>May</v>
      </c>
      <c r="E878" t="s">
        <v>1310</v>
      </c>
      <c r="F878">
        <v>49</v>
      </c>
      <c r="G878" t="str">
        <f t="shared" si="27"/>
        <v>Adult</v>
      </c>
      <c r="H878" t="s">
        <v>22</v>
      </c>
      <c r="I878" t="s">
        <v>31</v>
      </c>
      <c r="J878" t="s">
        <v>65</v>
      </c>
      <c r="K878" t="s">
        <v>38</v>
      </c>
      <c r="L878" t="s">
        <v>71</v>
      </c>
      <c r="M878">
        <v>10</v>
      </c>
      <c r="N878">
        <v>11136</v>
      </c>
      <c r="O878">
        <v>111360</v>
      </c>
      <c r="P878" t="s">
        <v>53</v>
      </c>
      <c r="Q878">
        <v>3</v>
      </c>
      <c r="R878">
        <v>3</v>
      </c>
      <c r="S878" t="s">
        <v>46</v>
      </c>
    </row>
    <row r="879" spans="1:19" x14ac:dyDescent="0.3">
      <c r="A879">
        <v>876</v>
      </c>
      <c r="B879" t="s">
        <v>1311</v>
      </c>
      <c r="C879" s="6">
        <v>46167</v>
      </c>
      <c r="D879" s="2" t="str">
        <f t="shared" si="26"/>
        <v>May</v>
      </c>
      <c r="E879" t="s">
        <v>984</v>
      </c>
      <c r="F879">
        <v>54</v>
      </c>
      <c r="G879" t="str">
        <f t="shared" si="27"/>
        <v>Senior</v>
      </c>
      <c r="H879" t="s">
        <v>42</v>
      </c>
      <c r="I879" t="s">
        <v>37</v>
      </c>
      <c r="J879" t="s">
        <v>50</v>
      </c>
      <c r="K879" t="s">
        <v>25</v>
      </c>
      <c r="L879" t="s">
        <v>94</v>
      </c>
      <c r="M879">
        <v>4</v>
      </c>
      <c r="N879">
        <v>12830</v>
      </c>
      <c r="O879">
        <v>51320</v>
      </c>
      <c r="P879" t="s">
        <v>116</v>
      </c>
      <c r="Q879">
        <v>1</v>
      </c>
      <c r="R879">
        <v>4</v>
      </c>
      <c r="S879" t="s">
        <v>46</v>
      </c>
    </row>
    <row r="880" spans="1:19" x14ac:dyDescent="0.3">
      <c r="A880">
        <v>877</v>
      </c>
      <c r="B880" t="s">
        <v>1312</v>
      </c>
      <c r="C880" s="6">
        <v>46168</v>
      </c>
      <c r="D880" s="2" t="str">
        <f t="shared" si="26"/>
        <v>May</v>
      </c>
      <c r="E880" t="s">
        <v>434</v>
      </c>
      <c r="F880">
        <v>28</v>
      </c>
      <c r="G880" t="str">
        <f t="shared" si="27"/>
        <v>Teenager</v>
      </c>
      <c r="H880" t="s">
        <v>22</v>
      </c>
      <c r="I880" t="s">
        <v>37</v>
      </c>
      <c r="J880" t="s">
        <v>65</v>
      </c>
      <c r="K880" t="s">
        <v>33</v>
      </c>
      <c r="L880" t="s">
        <v>34</v>
      </c>
      <c r="M880">
        <v>6</v>
      </c>
      <c r="N880">
        <v>11690</v>
      </c>
      <c r="O880">
        <v>70140</v>
      </c>
      <c r="P880" t="s">
        <v>53</v>
      </c>
      <c r="Q880">
        <v>8</v>
      </c>
      <c r="R880">
        <v>1</v>
      </c>
      <c r="S880" t="s">
        <v>28</v>
      </c>
    </row>
    <row r="881" spans="1:19" x14ac:dyDescent="0.3">
      <c r="A881">
        <v>878</v>
      </c>
      <c r="B881" t="s">
        <v>1313</v>
      </c>
      <c r="C881" s="6">
        <v>46169</v>
      </c>
      <c r="D881" s="2" t="str">
        <f t="shared" si="26"/>
        <v>May</v>
      </c>
      <c r="E881" t="s">
        <v>836</v>
      </c>
      <c r="F881">
        <v>51</v>
      </c>
      <c r="G881" t="str">
        <f t="shared" si="27"/>
        <v>Senior</v>
      </c>
      <c r="H881" t="s">
        <v>42</v>
      </c>
      <c r="I881" t="s">
        <v>23</v>
      </c>
      <c r="J881" t="s">
        <v>32</v>
      </c>
      <c r="K881" t="s">
        <v>38</v>
      </c>
      <c r="L881" t="s">
        <v>39</v>
      </c>
      <c r="M881">
        <v>7</v>
      </c>
      <c r="N881">
        <v>22614</v>
      </c>
      <c r="O881">
        <v>158298</v>
      </c>
      <c r="P881" t="s">
        <v>53</v>
      </c>
      <c r="Q881">
        <v>3</v>
      </c>
      <c r="R881">
        <v>2</v>
      </c>
      <c r="S881" t="s">
        <v>28</v>
      </c>
    </row>
    <row r="882" spans="1:19" x14ac:dyDescent="0.3">
      <c r="A882">
        <v>879</v>
      </c>
      <c r="B882" t="s">
        <v>1314</v>
      </c>
      <c r="C882" s="6">
        <v>46170</v>
      </c>
      <c r="D882" s="2" t="str">
        <f t="shared" si="26"/>
        <v>May</v>
      </c>
      <c r="E882" t="s">
        <v>1264</v>
      </c>
      <c r="F882">
        <v>23</v>
      </c>
      <c r="G882" t="str">
        <f t="shared" si="27"/>
        <v>Teenager</v>
      </c>
      <c r="H882" t="s">
        <v>42</v>
      </c>
      <c r="I882" t="s">
        <v>64</v>
      </c>
      <c r="J882" t="s">
        <v>32</v>
      </c>
      <c r="K882" t="s">
        <v>51</v>
      </c>
      <c r="L882" t="s">
        <v>111</v>
      </c>
      <c r="M882">
        <v>2</v>
      </c>
      <c r="N882">
        <v>1227</v>
      </c>
      <c r="O882">
        <v>2454</v>
      </c>
      <c r="P882" t="s">
        <v>116</v>
      </c>
      <c r="Q882">
        <v>5</v>
      </c>
      <c r="R882">
        <v>4</v>
      </c>
      <c r="S882" t="s">
        <v>28</v>
      </c>
    </row>
    <row r="883" spans="1:19" x14ac:dyDescent="0.3">
      <c r="A883">
        <v>880</v>
      </c>
      <c r="B883" t="s">
        <v>1315</v>
      </c>
      <c r="C883" s="6">
        <v>46171</v>
      </c>
      <c r="D883" s="2" t="str">
        <f t="shared" si="26"/>
        <v>May</v>
      </c>
      <c r="E883" t="s">
        <v>831</v>
      </c>
      <c r="F883">
        <v>20</v>
      </c>
      <c r="G883" t="str">
        <f t="shared" si="27"/>
        <v>Teenager</v>
      </c>
      <c r="H883" t="s">
        <v>42</v>
      </c>
      <c r="I883" t="s">
        <v>37</v>
      </c>
      <c r="J883" t="s">
        <v>65</v>
      </c>
      <c r="K883" t="s">
        <v>33</v>
      </c>
      <c r="L883" t="s">
        <v>153</v>
      </c>
      <c r="M883">
        <v>8</v>
      </c>
      <c r="N883">
        <v>9955</v>
      </c>
      <c r="O883">
        <v>79640</v>
      </c>
      <c r="P883" t="s">
        <v>99</v>
      </c>
      <c r="Q883">
        <v>1</v>
      </c>
      <c r="R883">
        <v>4</v>
      </c>
      <c r="S883" t="s">
        <v>28</v>
      </c>
    </row>
    <row r="884" spans="1:19" x14ac:dyDescent="0.3">
      <c r="A884">
        <v>881</v>
      </c>
      <c r="B884" t="s">
        <v>1316</v>
      </c>
      <c r="C884" s="6">
        <v>46172</v>
      </c>
      <c r="D884" s="2" t="str">
        <f t="shared" si="26"/>
        <v>May</v>
      </c>
      <c r="E884" t="s">
        <v>168</v>
      </c>
      <c r="F884">
        <v>28</v>
      </c>
      <c r="G884" t="str">
        <f t="shared" si="27"/>
        <v>Teenager</v>
      </c>
      <c r="H884" t="s">
        <v>42</v>
      </c>
      <c r="I884" t="s">
        <v>37</v>
      </c>
      <c r="J884" t="s">
        <v>32</v>
      </c>
      <c r="K884" t="s">
        <v>44</v>
      </c>
      <c r="L884" t="s">
        <v>91</v>
      </c>
      <c r="M884">
        <v>6</v>
      </c>
      <c r="N884">
        <v>45952</v>
      </c>
      <c r="O884">
        <v>275712</v>
      </c>
      <c r="P884" t="s">
        <v>61</v>
      </c>
      <c r="Q884">
        <v>3</v>
      </c>
      <c r="R884">
        <v>4</v>
      </c>
      <c r="S884" t="s">
        <v>46</v>
      </c>
    </row>
    <row r="885" spans="1:19" x14ac:dyDescent="0.3">
      <c r="A885">
        <v>882</v>
      </c>
      <c r="B885" t="s">
        <v>1317</v>
      </c>
      <c r="C885" s="6">
        <v>46173</v>
      </c>
      <c r="D885" s="2" t="str">
        <f t="shared" si="26"/>
        <v>May</v>
      </c>
      <c r="E885" t="s">
        <v>405</v>
      </c>
      <c r="F885">
        <v>56</v>
      </c>
      <c r="G885" t="str">
        <f t="shared" si="27"/>
        <v>Senior</v>
      </c>
      <c r="H885" t="s">
        <v>22</v>
      </c>
      <c r="I885" t="s">
        <v>49</v>
      </c>
      <c r="J885" t="s">
        <v>24</v>
      </c>
      <c r="K885" t="s">
        <v>44</v>
      </c>
      <c r="L885" t="s">
        <v>45</v>
      </c>
      <c r="M885">
        <v>4</v>
      </c>
      <c r="N885">
        <v>10340</v>
      </c>
      <c r="O885">
        <v>41360</v>
      </c>
      <c r="P885" t="s">
        <v>27</v>
      </c>
      <c r="Q885">
        <v>4</v>
      </c>
      <c r="R885">
        <v>1</v>
      </c>
      <c r="S885" t="s">
        <v>28</v>
      </c>
    </row>
    <row r="886" spans="1:19" x14ac:dyDescent="0.3">
      <c r="A886">
        <v>883</v>
      </c>
      <c r="B886" t="s">
        <v>1318</v>
      </c>
      <c r="C886" s="6">
        <v>46174</v>
      </c>
      <c r="D886" s="2" t="str">
        <f t="shared" si="26"/>
        <v>June</v>
      </c>
      <c r="E886" t="s">
        <v>833</v>
      </c>
      <c r="F886">
        <v>42</v>
      </c>
      <c r="G886" t="str">
        <f t="shared" si="27"/>
        <v>Adult</v>
      </c>
      <c r="H886" t="s">
        <v>22</v>
      </c>
      <c r="I886" t="s">
        <v>43</v>
      </c>
      <c r="J886" t="s">
        <v>32</v>
      </c>
      <c r="K886" t="s">
        <v>33</v>
      </c>
      <c r="L886" t="s">
        <v>173</v>
      </c>
      <c r="M886">
        <v>7</v>
      </c>
      <c r="N886">
        <v>23218</v>
      </c>
      <c r="O886">
        <v>162526</v>
      </c>
      <c r="P886" t="s">
        <v>61</v>
      </c>
      <c r="Q886">
        <v>7</v>
      </c>
      <c r="R886">
        <v>1</v>
      </c>
      <c r="S886" t="s">
        <v>28</v>
      </c>
    </row>
    <row r="887" spans="1:19" x14ac:dyDescent="0.3">
      <c r="A887">
        <v>884</v>
      </c>
      <c r="B887" t="s">
        <v>1319</v>
      </c>
      <c r="C887" s="6">
        <v>46175</v>
      </c>
      <c r="D887" s="2" t="str">
        <f t="shared" si="26"/>
        <v>June</v>
      </c>
      <c r="E887" t="s">
        <v>1227</v>
      </c>
      <c r="F887">
        <v>21</v>
      </c>
      <c r="G887" t="str">
        <f t="shared" si="27"/>
        <v>Teenager</v>
      </c>
      <c r="H887" t="s">
        <v>42</v>
      </c>
      <c r="I887" t="s">
        <v>49</v>
      </c>
      <c r="J887" t="s">
        <v>65</v>
      </c>
      <c r="K887" t="s">
        <v>38</v>
      </c>
      <c r="L887" t="s">
        <v>71</v>
      </c>
      <c r="M887">
        <v>6</v>
      </c>
      <c r="N887">
        <v>44218</v>
      </c>
      <c r="O887">
        <v>265308</v>
      </c>
      <c r="P887" t="s">
        <v>99</v>
      </c>
      <c r="Q887">
        <v>7</v>
      </c>
      <c r="R887">
        <v>2</v>
      </c>
      <c r="S887" t="s">
        <v>46</v>
      </c>
    </row>
    <row r="888" spans="1:19" x14ac:dyDescent="0.3">
      <c r="A888">
        <v>885</v>
      </c>
      <c r="B888" t="s">
        <v>1320</v>
      </c>
      <c r="C888" s="6">
        <v>46176</v>
      </c>
      <c r="D888" s="2" t="str">
        <f t="shared" si="26"/>
        <v>June</v>
      </c>
      <c r="E888" t="s">
        <v>695</v>
      </c>
      <c r="F888">
        <v>23</v>
      </c>
      <c r="G888" t="str">
        <f t="shared" si="27"/>
        <v>Teenager</v>
      </c>
      <c r="H888" t="s">
        <v>22</v>
      </c>
      <c r="I888" t="s">
        <v>102</v>
      </c>
      <c r="J888" t="s">
        <v>50</v>
      </c>
      <c r="K888" t="s">
        <v>33</v>
      </c>
      <c r="L888" t="s">
        <v>34</v>
      </c>
      <c r="M888">
        <v>8</v>
      </c>
      <c r="N888">
        <v>29689</v>
      </c>
      <c r="O888">
        <v>237512</v>
      </c>
      <c r="P888" t="s">
        <v>61</v>
      </c>
      <c r="Q888">
        <v>1</v>
      </c>
      <c r="R888">
        <v>3</v>
      </c>
      <c r="S888" t="s">
        <v>46</v>
      </c>
    </row>
    <row r="889" spans="1:19" x14ac:dyDescent="0.3">
      <c r="A889">
        <v>886</v>
      </c>
      <c r="B889" t="s">
        <v>1321</v>
      </c>
      <c r="C889" s="6">
        <v>46177</v>
      </c>
      <c r="D889" s="2" t="str">
        <f t="shared" si="26"/>
        <v>June</v>
      </c>
      <c r="E889" t="s">
        <v>652</v>
      </c>
      <c r="F889">
        <v>40</v>
      </c>
      <c r="G889" t="str">
        <f t="shared" si="27"/>
        <v>Adult</v>
      </c>
      <c r="H889" t="s">
        <v>22</v>
      </c>
      <c r="I889" t="s">
        <v>43</v>
      </c>
      <c r="J889" t="s">
        <v>50</v>
      </c>
      <c r="K889" t="s">
        <v>33</v>
      </c>
      <c r="L889" t="s">
        <v>160</v>
      </c>
      <c r="M889">
        <v>8</v>
      </c>
      <c r="N889">
        <v>46082</v>
      </c>
      <c r="O889">
        <v>368656</v>
      </c>
      <c r="P889" t="s">
        <v>116</v>
      </c>
      <c r="Q889">
        <v>3</v>
      </c>
      <c r="R889">
        <v>5</v>
      </c>
      <c r="S889" t="s">
        <v>46</v>
      </c>
    </row>
    <row r="890" spans="1:19" x14ac:dyDescent="0.3">
      <c r="A890">
        <v>887</v>
      </c>
      <c r="B890" t="s">
        <v>1322</v>
      </c>
      <c r="C890" s="6">
        <v>46178</v>
      </c>
      <c r="D890" s="2" t="str">
        <f t="shared" si="26"/>
        <v>June</v>
      </c>
      <c r="E890" t="s">
        <v>685</v>
      </c>
      <c r="F890">
        <v>55</v>
      </c>
      <c r="G890" t="str">
        <f t="shared" si="27"/>
        <v>Senior</v>
      </c>
      <c r="H890" t="s">
        <v>22</v>
      </c>
      <c r="I890" t="s">
        <v>64</v>
      </c>
      <c r="J890" t="s">
        <v>65</v>
      </c>
      <c r="K890" t="s">
        <v>33</v>
      </c>
      <c r="L890" t="s">
        <v>89</v>
      </c>
      <c r="M890">
        <v>5</v>
      </c>
      <c r="N890">
        <v>32483</v>
      </c>
      <c r="O890">
        <v>162415</v>
      </c>
      <c r="P890" t="s">
        <v>116</v>
      </c>
      <c r="Q890">
        <v>6</v>
      </c>
      <c r="R890">
        <v>5</v>
      </c>
      <c r="S890" t="s">
        <v>28</v>
      </c>
    </row>
    <row r="891" spans="1:19" x14ac:dyDescent="0.3">
      <c r="A891">
        <v>888</v>
      </c>
      <c r="B891" t="s">
        <v>1323</v>
      </c>
      <c r="C891" s="6">
        <v>46179</v>
      </c>
      <c r="D891" s="2" t="str">
        <f t="shared" si="26"/>
        <v>June</v>
      </c>
      <c r="E891" t="s">
        <v>235</v>
      </c>
      <c r="F891">
        <v>22</v>
      </c>
      <c r="G891" t="str">
        <f t="shared" si="27"/>
        <v>Teenager</v>
      </c>
      <c r="H891" t="s">
        <v>22</v>
      </c>
      <c r="I891" t="s">
        <v>31</v>
      </c>
      <c r="J891" t="s">
        <v>65</v>
      </c>
      <c r="K891" t="s">
        <v>25</v>
      </c>
      <c r="L891" t="s">
        <v>189</v>
      </c>
      <c r="M891">
        <v>10</v>
      </c>
      <c r="N891">
        <v>4578</v>
      </c>
      <c r="O891">
        <v>45780</v>
      </c>
      <c r="P891" t="s">
        <v>99</v>
      </c>
      <c r="Q891">
        <v>7</v>
      </c>
      <c r="R891">
        <v>2</v>
      </c>
      <c r="S891" t="s">
        <v>46</v>
      </c>
    </row>
    <row r="892" spans="1:19" x14ac:dyDescent="0.3">
      <c r="A892">
        <v>889</v>
      </c>
      <c r="B892" t="s">
        <v>1324</v>
      </c>
      <c r="C892" s="6">
        <v>46180</v>
      </c>
      <c r="D892" s="2" t="str">
        <f t="shared" si="26"/>
        <v>June</v>
      </c>
      <c r="E892" t="s">
        <v>383</v>
      </c>
      <c r="F892">
        <v>34</v>
      </c>
      <c r="G892" t="str">
        <f t="shared" si="27"/>
        <v>Adult</v>
      </c>
      <c r="H892" t="s">
        <v>42</v>
      </c>
      <c r="I892" t="s">
        <v>120</v>
      </c>
      <c r="J892" t="s">
        <v>50</v>
      </c>
      <c r="K892" t="s">
        <v>33</v>
      </c>
      <c r="L892" t="s">
        <v>34</v>
      </c>
      <c r="M892">
        <v>7</v>
      </c>
      <c r="N892">
        <v>14303</v>
      </c>
      <c r="O892">
        <v>100121</v>
      </c>
      <c r="P892" t="s">
        <v>27</v>
      </c>
      <c r="Q892">
        <v>5</v>
      </c>
      <c r="R892">
        <v>5</v>
      </c>
      <c r="S892" t="s">
        <v>28</v>
      </c>
    </row>
    <row r="893" spans="1:19" x14ac:dyDescent="0.3">
      <c r="A893">
        <v>890</v>
      </c>
      <c r="B893" t="s">
        <v>1325</v>
      </c>
      <c r="C893" s="6">
        <v>46181</v>
      </c>
      <c r="D893" s="2" t="str">
        <f t="shared" si="26"/>
        <v>June</v>
      </c>
      <c r="E893" t="s">
        <v>519</v>
      </c>
      <c r="F893">
        <v>39</v>
      </c>
      <c r="G893" t="str">
        <f t="shared" si="27"/>
        <v>Adult</v>
      </c>
      <c r="H893" t="s">
        <v>42</v>
      </c>
      <c r="I893" t="s">
        <v>102</v>
      </c>
      <c r="J893" t="s">
        <v>65</v>
      </c>
      <c r="K893" t="s">
        <v>25</v>
      </c>
      <c r="L893" t="s">
        <v>26</v>
      </c>
      <c r="M893">
        <v>7</v>
      </c>
      <c r="N893">
        <v>21913</v>
      </c>
      <c r="O893">
        <v>153391</v>
      </c>
      <c r="P893" t="s">
        <v>53</v>
      </c>
      <c r="Q893">
        <v>5</v>
      </c>
      <c r="R893">
        <v>5</v>
      </c>
      <c r="S893" t="s">
        <v>28</v>
      </c>
    </row>
    <row r="894" spans="1:19" x14ac:dyDescent="0.3">
      <c r="A894">
        <v>891</v>
      </c>
      <c r="B894" t="s">
        <v>1326</v>
      </c>
      <c r="C894" s="6">
        <v>46182</v>
      </c>
      <c r="D894" s="2" t="str">
        <f t="shared" si="26"/>
        <v>June</v>
      </c>
      <c r="E894" t="s">
        <v>175</v>
      </c>
      <c r="F894">
        <v>39</v>
      </c>
      <c r="G894" t="str">
        <f t="shared" si="27"/>
        <v>Adult</v>
      </c>
      <c r="H894" t="s">
        <v>22</v>
      </c>
      <c r="I894" t="s">
        <v>70</v>
      </c>
      <c r="J894" t="s">
        <v>32</v>
      </c>
      <c r="K894" t="s">
        <v>38</v>
      </c>
      <c r="L894" t="s">
        <v>135</v>
      </c>
      <c r="M894">
        <v>10</v>
      </c>
      <c r="N894">
        <v>4774</v>
      </c>
      <c r="O894">
        <v>47740</v>
      </c>
      <c r="P894" t="s">
        <v>116</v>
      </c>
      <c r="Q894">
        <v>6</v>
      </c>
      <c r="R894">
        <v>4</v>
      </c>
      <c r="S894" t="s">
        <v>28</v>
      </c>
    </row>
    <row r="895" spans="1:19" x14ac:dyDescent="0.3">
      <c r="A895">
        <v>892</v>
      </c>
      <c r="B895" t="s">
        <v>1327</v>
      </c>
      <c r="C895" s="6">
        <v>46183</v>
      </c>
      <c r="D895" s="2" t="str">
        <f t="shared" si="26"/>
        <v>June</v>
      </c>
      <c r="E895" t="s">
        <v>743</v>
      </c>
      <c r="F895">
        <v>54</v>
      </c>
      <c r="G895" t="str">
        <f t="shared" si="27"/>
        <v>Senior</v>
      </c>
      <c r="H895" t="s">
        <v>22</v>
      </c>
      <c r="I895" t="s">
        <v>64</v>
      </c>
      <c r="J895" t="s">
        <v>65</v>
      </c>
      <c r="K895" t="s">
        <v>38</v>
      </c>
      <c r="L895" t="s">
        <v>39</v>
      </c>
      <c r="M895">
        <v>3</v>
      </c>
      <c r="N895">
        <v>30609</v>
      </c>
      <c r="O895">
        <v>91827</v>
      </c>
      <c r="P895" t="s">
        <v>27</v>
      </c>
      <c r="Q895">
        <v>8</v>
      </c>
      <c r="R895">
        <v>3</v>
      </c>
      <c r="S895" t="s">
        <v>28</v>
      </c>
    </row>
    <row r="896" spans="1:19" x14ac:dyDescent="0.3">
      <c r="A896">
        <v>893</v>
      </c>
      <c r="B896" t="s">
        <v>1328</v>
      </c>
      <c r="C896" s="6">
        <v>46184</v>
      </c>
      <c r="D896" s="2" t="str">
        <f t="shared" si="26"/>
        <v>June</v>
      </c>
      <c r="E896" t="s">
        <v>1329</v>
      </c>
      <c r="F896">
        <v>25</v>
      </c>
      <c r="G896" t="str">
        <f t="shared" si="27"/>
        <v>Teenager</v>
      </c>
      <c r="H896" t="s">
        <v>42</v>
      </c>
      <c r="I896" t="s">
        <v>49</v>
      </c>
      <c r="J896" t="s">
        <v>65</v>
      </c>
      <c r="K896" t="s">
        <v>44</v>
      </c>
      <c r="L896" t="s">
        <v>224</v>
      </c>
      <c r="M896">
        <v>2</v>
      </c>
      <c r="N896">
        <v>3328</v>
      </c>
      <c r="O896">
        <v>6656</v>
      </c>
      <c r="P896" t="s">
        <v>99</v>
      </c>
      <c r="Q896">
        <v>8</v>
      </c>
      <c r="R896">
        <v>3</v>
      </c>
      <c r="S896" t="s">
        <v>46</v>
      </c>
    </row>
    <row r="897" spans="1:19" x14ac:dyDescent="0.3">
      <c r="A897">
        <v>894</v>
      </c>
      <c r="B897" t="s">
        <v>1330</v>
      </c>
      <c r="C897" s="6">
        <v>46185</v>
      </c>
      <c r="D897" s="2" t="str">
        <f t="shared" si="26"/>
        <v>June</v>
      </c>
      <c r="E897" t="s">
        <v>123</v>
      </c>
      <c r="F897">
        <v>20</v>
      </c>
      <c r="G897" t="str">
        <f t="shared" si="27"/>
        <v>Teenager</v>
      </c>
      <c r="H897" t="s">
        <v>22</v>
      </c>
      <c r="I897" t="s">
        <v>31</v>
      </c>
      <c r="J897" t="s">
        <v>32</v>
      </c>
      <c r="K897" t="s">
        <v>51</v>
      </c>
      <c r="L897" t="s">
        <v>52</v>
      </c>
      <c r="M897">
        <v>8</v>
      </c>
      <c r="N897">
        <v>671</v>
      </c>
      <c r="O897">
        <v>5368</v>
      </c>
      <c r="P897" t="s">
        <v>116</v>
      </c>
      <c r="Q897">
        <v>1</v>
      </c>
      <c r="R897">
        <v>1</v>
      </c>
      <c r="S897" t="s">
        <v>46</v>
      </c>
    </row>
    <row r="898" spans="1:19" x14ac:dyDescent="0.3">
      <c r="A898">
        <v>895</v>
      </c>
      <c r="B898" t="s">
        <v>1331</v>
      </c>
      <c r="C898" s="6">
        <v>46186</v>
      </c>
      <c r="D898" s="2" t="str">
        <f t="shared" si="26"/>
        <v>June</v>
      </c>
      <c r="E898" t="s">
        <v>55</v>
      </c>
      <c r="F898">
        <v>43</v>
      </c>
      <c r="G898" t="str">
        <f t="shared" si="27"/>
        <v>Adult</v>
      </c>
      <c r="H898" t="s">
        <v>42</v>
      </c>
      <c r="I898" t="s">
        <v>70</v>
      </c>
      <c r="J898" t="s">
        <v>65</v>
      </c>
      <c r="K898" t="s">
        <v>44</v>
      </c>
      <c r="L898" t="s">
        <v>121</v>
      </c>
      <c r="M898">
        <v>10</v>
      </c>
      <c r="N898">
        <v>7022</v>
      </c>
      <c r="O898">
        <v>70220</v>
      </c>
      <c r="P898" t="s">
        <v>27</v>
      </c>
      <c r="Q898">
        <v>3</v>
      </c>
      <c r="R898">
        <v>3</v>
      </c>
      <c r="S898" t="s">
        <v>46</v>
      </c>
    </row>
    <row r="899" spans="1:19" x14ac:dyDescent="0.3">
      <c r="A899">
        <v>896</v>
      </c>
      <c r="B899" t="s">
        <v>1332</v>
      </c>
      <c r="C899" s="6">
        <v>46187</v>
      </c>
      <c r="D899" s="2" t="str">
        <f t="shared" si="26"/>
        <v>June</v>
      </c>
      <c r="E899" t="s">
        <v>139</v>
      </c>
      <c r="F899">
        <v>57</v>
      </c>
      <c r="G899" t="str">
        <f t="shared" si="27"/>
        <v>Senior</v>
      </c>
      <c r="H899" t="s">
        <v>42</v>
      </c>
      <c r="I899" t="s">
        <v>43</v>
      </c>
      <c r="J899" t="s">
        <v>32</v>
      </c>
      <c r="K899" t="s">
        <v>44</v>
      </c>
      <c r="L899" t="s">
        <v>121</v>
      </c>
      <c r="M899">
        <v>7</v>
      </c>
      <c r="N899">
        <v>20672</v>
      </c>
      <c r="O899">
        <v>144704</v>
      </c>
      <c r="P899" t="s">
        <v>61</v>
      </c>
      <c r="Q899">
        <v>6</v>
      </c>
      <c r="R899">
        <v>4</v>
      </c>
      <c r="S899" t="s">
        <v>46</v>
      </c>
    </row>
    <row r="900" spans="1:19" x14ac:dyDescent="0.3">
      <c r="A900">
        <v>897</v>
      </c>
      <c r="B900" t="s">
        <v>1333</v>
      </c>
      <c r="C900" s="6">
        <v>46188</v>
      </c>
      <c r="D900" s="2" t="str">
        <f t="shared" ref="D900:D963" si="28">TEXT(C900,"mmmm")</f>
        <v>June</v>
      </c>
      <c r="E900" t="s">
        <v>250</v>
      </c>
      <c r="F900">
        <v>33</v>
      </c>
      <c r="G900" t="str">
        <f t="shared" ref="G900:G963" si="29">IF(F900&gt;=50,"Senior",IF(F900&gt;=30,"Adult","Teenager"))</f>
        <v>Adult</v>
      </c>
      <c r="H900" t="s">
        <v>22</v>
      </c>
      <c r="I900" t="s">
        <v>43</v>
      </c>
      <c r="J900" t="s">
        <v>32</v>
      </c>
      <c r="K900" t="s">
        <v>44</v>
      </c>
      <c r="L900" t="s">
        <v>121</v>
      </c>
      <c r="M900">
        <v>10</v>
      </c>
      <c r="N900">
        <v>532</v>
      </c>
      <c r="O900">
        <v>5320</v>
      </c>
      <c r="P900" t="s">
        <v>27</v>
      </c>
      <c r="Q900">
        <v>1</v>
      </c>
      <c r="R900">
        <v>1</v>
      </c>
      <c r="S900" t="s">
        <v>28</v>
      </c>
    </row>
    <row r="901" spans="1:19" x14ac:dyDescent="0.3">
      <c r="A901">
        <v>898</v>
      </c>
      <c r="B901" t="s">
        <v>1334</v>
      </c>
      <c r="C901" s="6">
        <v>46189</v>
      </c>
      <c r="D901" s="2" t="str">
        <f t="shared" si="28"/>
        <v>June</v>
      </c>
      <c r="E901" t="s">
        <v>765</v>
      </c>
      <c r="F901">
        <v>50</v>
      </c>
      <c r="G901" t="str">
        <f t="shared" si="29"/>
        <v>Senior</v>
      </c>
      <c r="H901" t="s">
        <v>22</v>
      </c>
      <c r="I901" t="s">
        <v>37</v>
      </c>
      <c r="J901" t="s">
        <v>32</v>
      </c>
      <c r="K901" t="s">
        <v>51</v>
      </c>
      <c r="L901" t="s">
        <v>86</v>
      </c>
      <c r="M901">
        <v>3</v>
      </c>
      <c r="N901">
        <v>301</v>
      </c>
      <c r="O901">
        <v>903</v>
      </c>
      <c r="P901" t="s">
        <v>116</v>
      </c>
      <c r="Q901">
        <v>8</v>
      </c>
      <c r="R901">
        <v>4</v>
      </c>
      <c r="S901" t="s">
        <v>46</v>
      </c>
    </row>
    <row r="902" spans="1:19" x14ac:dyDescent="0.3">
      <c r="A902">
        <v>899</v>
      </c>
      <c r="B902" t="s">
        <v>1335</v>
      </c>
      <c r="C902" s="6">
        <v>46190</v>
      </c>
      <c r="D902" s="2" t="str">
        <f t="shared" si="28"/>
        <v>June</v>
      </c>
      <c r="E902" t="s">
        <v>547</v>
      </c>
      <c r="F902">
        <v>28</v>
      </c>
      <c r="G902" t="str">
        <f t="shared" si="29"/>
        <v>Teenager</v>
      </c>
      <c r="H902" t="s">
        <v>22</v>
      </c>
      <c r="I902" t="s">
        <v>23</v>
      </c>
      <c r="J902" t="s">
        <v>50</v>
      </c>
      <c r="K902" t="s">
        <v>44</v>
      </c>
      <c r="L902" t="s">
        <v>178</v>
      </c>
      <c r="M902">
        <v>6</v>
      </c>
      <c r="N902">
        <v>2713</v>
      </c>
      <c r="O902">
        <v>16278</v>
      </c>
      <c r="P902" t="s">
        <v>27</v>
      </c>
      <c r="Q902">
        <v>2</v>
      </c>
      <c r="R902">
        <v>5</v>
      </c>
      <c r="S902" t="s">
        <v>28</v>
      </c>
    </row>
    <row r="903" spans="1:19" x14ac:dyDescent="0.3">
      <c r="A903">
        <v>900</v>
      </c>
      <c r="B903" t="s">
        <v>1336</v>
      </c>
      <c r="C903" s="6">
        <v>46191</v>
      </c>
      <c r="D903" s="2" t="str">
        <f t="shared" si="28"/>
        <v>June</v>
      </c>
      <c r="E903" t="s">
        <v>728</v>
      </c>
      <c r="F903">
        <v>52</v>
      </c>
      <c r="G903" t="str">
        <f t="shared" si="29"/>
        <v>Senior</v>
      </c>
      <c r="H903" t="s">
        <v>42</v>
      </c>
      <c r="I903" t="s">
        <v>80</v>
      </c>
      <c r="J903" t="s">
        <v>32</v>
      </c>
      <c r="K903" t="s">
        <v>44</v>
      </c>
      <c r="L903" t="s">
        <v>178</v>
      </c>
      <c r="M903">
        <v>7</v>
      </c>
      <c r="N903">
        <v>15411</v>
      </c>
      <c r="O903">
        <v>107877</v>
      </c>
      <c r="P903" t="s">
        <v>27</v>
      </c>
      <c r="Q903">
        <v>6</v>
      </c>
      <c r="R903">
        <v>4</v>
      </c>
      <c r="S903" t="s">
        <v>46</v>
      </c>
    </row>
    <row r="904" spans="1:19" x14ac:dyDescent="0.3">
      <c r="A904">
        <v>901</v>
      </c>
      <c r="B904" t="s">
        <v>1337</v>
      </c>
      <c r="C904" s="6">
        <v>46192</v>
      </c>
      <c r="D904" s="2" t="str">
        <f t="shared" si="28"/>
        <v>June</v>
      </c>
      <c r="E904" t="s">
        <v>358</v>
      </c>
      <c r="F904">
        <v>45</v>
      </c>
      <c r="G904" t="str">
        <f t="shared" si="29"/>
        <v>Adult</v>
      </c>
      <c r="H904" t="s">
        <v>22</v>
      </c>
      <c r="I904" t="s">
        <v>49</v>
      </c>
      <c r="J904" t="s">
        <v>50</v>
      </c>
      <c r="K904" t="s">
        <v>44</v>
      </c>
      <c r="L904" t="s">
        <v>121</v>
      </c>
      <c r="M904">
        <v>9</v>
      </c>
      <c r="N904">
        <v>37494</v>
      </c>
      <c r="O904">
        <v>337446</v>
      </c>
      <c r="P904" t="s">
        <v>27</v>
      </c>
      <c r="Q904">
        <v>1</v>
      </c>
      <c r="R904">
        <v>1</v>
      </c>
      <c r="S904" t="s">
        <v>28</v>
      </c>
    </row>
    <row r="905" spans="1:19" x14ac:dyDescent="0.3">
      <c r="A905">
        <v>902</v>
      </c>
      <c r="B905" t="s">
        <v>1338</v>
      </c>
      <c r="C905" s="6">
        <v>46193</v>
      </c>
      <c r="D905" s="2" t="str">
        <f t="shared" si="28"/>
        <v>June</v>
      </c>
      <c r="E905" t="s">
        <v>748</v>
      </c>
      <c r="F905">
        <v>36</v>
      </c>
      <c r="G905" t="str">
        <f t="shared" si="29"/>
        <v>Adult</v>
      </c>
      <c r="H905" t="s">
        <v>22</v>
      </c>
      <c r="I905" t="s">
        <v>43</v>
      </c>
      <c r="J905" t="s">
        <v>32</v>
      </c>
      <c r="K905" t="s">
        <v>25</v>
      </c>
      <c r="L905" t="s">
        <v>94</v>
      </c>
      <c r="M905">
        <v>9</v>
      </c>
      <c r="N905">
        <v>24176</v>
      </c>
      <c r="O905">
        <v>217584</v>
      </c>
      <c r="P905" t="s">
        <v>61</v>
      </c>
      <c r="Q905">
        <v>9</v>
      </c>
      <c r="R905">
        <v>3</v>
      </c>
      <c r="S905" t="s">
        <v>46</v>
      </c>
    </row>
    <row r="906" spans="1:19" x14ac:dyDescent="0.3">
      <c r="A906">
        <v>903</v>
      </c>
      <c r="B906" t="s">
        <v>1339</v>
      </c>
      <c r="C906" s="6">
        <v>46194</v>
      </c>
      <c r="D906" s="2" t="str">
        <f t="shared" si="28"/>
        <v>June</v>
      </c>
      <c r="E906" t="s">
        <v>79</v>
      </c>
      <c r="F906">
        <v>38</v>
      </c>
      <c r="G906" t="str">
        <f t="shared" si="29"/>
        <v>Adult</v>
      </c>
      <c r="H906" t="s">
        <v>22</v>
      </c>
      <c r="I906" t="s">
        <v>23</v>
      </c>
      <c r="J906" t="s">
        <v>32</v>
      </c>
      <c r="K906" t="s">
        <v>33</v>
      </c>
      <c r="L906" t="s">
        <v>34</v>
      </c>
      <c r="M906">
        <v>3</v>
      </c>
      <c r="N906">
        <v>4683</v>
      </c>
      <c r="O906">
        <v>14049</v>
      </c>
      <c r="P906" t="s">
        <v>61</v>
      </c>
      <c r="Q906">
        <v>10</v>
      </c>
      <c r="R906">
        <v>1</v>
      </c>
      <c r="S906" t="s">
        <v>46</v>
      </c>
    </row>
    <row r="907" spans="1:19" x14ac:dyDescent="0.3">
      <c r="A907">
        <v>904</v>
      </c>
      <c r="B907" t="s">
        <v>1340</v>
      </c>
      <c r="C907" s="6">
        <v>46195</v>
      </c>
      <c r="D907" s="2" t="str">
        <f t="shared" si="28"/>
        <v>June</v>
      </c>
      <c r="E907" t="s">
        <v>317</v>
      </c>
      <c r="F907">
        <v>59</v>
      </c>
      <c r="G907" t="str">
        <f t="shared" si="29"/>
        <v>Senior</v>
      </c>
      <c r="H907" t="s">
        <v>22</v>
      </c>
      <c r="I907" t="s">
        <v>70</v>
      </c>
      <c r="J907" t="s">
        <v>65</v>
      </c>
      <c r="K907" t="s">
        <v>25</v>
      </c>
      <c r="L907" t="s">
        <v>189</v>
      </c>
      <c r="M907">
        <v>3</v>
      </c>
      <c r="N907">
        <v>24997</v>
      </c>
      <c r="O907">
        <v>74991</v>
      </c>
      <c r="P907" t="s">
        <v>53</v>
      </c>
      <c r="Q907">
        <v>5</v>
      </c>
      <c r="R907">
        <v>2</v>
      </c>
      <c r="S907" t="s">
        <v>46</v>
      </c>
    </row>
    <row r="908" spans="1:19" x14ac:dyDescent="0.3">
      <c r="A908">
        <v>905</v>
      </c>
      <c r="B908" t="s">
        <v>1341</v>
      </c>
      <c r="C908" s="6">
        <v>46196</v>
      </c>
      <c r="D908" s="2" t="str">
        <f t="shared" si="28"/>
        <v>June</v>
      </c>
      <c r="E908" t="s">
        <v>549</v>
      </c>
      <c r="F908">
        <v>45</v>
      </c>
      <c r="G908" t="str">
        <f t="shared" si="29"/>
        <v>Adult</v>
      </c>
      <c r="H908" t="s">
        <v>22</v>
      </c>
      <c r="I908" t="s">
        <v>80</v>
      </c>
      <c r="J908" t="s">
        <v>24</v>
      </c>
      <c r="K908" t="s">
        <v>33</v>
      </c>
      <c r="L908" t="s">
        <v>173</v>
      </c>
      <c r="M908">
        <v>4</v>
      </c>
      <c r="N908">
        <v>5645</v>
      </c>
      <c r="O908">
        <v>22580</v>
      </c>
      <c r="P908" t="s">
        <v>61</v>
      </c>
      <c r="Q908">
        <v>1</v>
      </c>
      <c r="R908">
        <v>4</v>
      </c>
      <c r="S908" t="s">
        <v>46</v>
      </c>
    </row>
    <row r="909" spans="1:19" x14ac:dyDescent="0.3">
      <c r="A909">
        <v>906</v>
      </c>
      <c r="B909" t="s">
        <v>1342</v>
      </c>
      <c r="C909" s="6">
        <v>46197</v>
      </c>
      <c r="D909" s="2" t="str">
        <f t="shared" si="28"/>
        <v>June</v>
      </c>
      <c r="E909" t="s">
        <v>416</v>
      </c>
      <c r="F909">
        <v>26</v>
      </c>
      <c r="G909" t="str">
        <f t="shared" si="29"/>
        <v>Teenager</v>
      </c>
      <c r="H909" t="s">
        <v>42</v>
      </c>
      <c r="I909" t="s">
        <v>23</v>
      </c>
      <c r="J909" t="s">
        <v>24</v>
      </c>
      <c r="K909" t="s">
        <v>33</v>
      </c>
      <c r="L909" t="s">
        <v>89</v>
      </c>
      <c r="M909">
        <v>4</v>
      </c>
      <c r="N909">
        <v>29427</v>
      </c>
      <c r="O909">
        <v>117708</v>
      </c>
      <c r="P909" t="s">
        <v>53</v>
      </c>
      <c r="Q909">
        <v>2</v>
      </c>
      <c r="R909">
        <v>3</v>
      </c>
      <c r="S909" t="s">
        <v>46</v>
      </c>
    </row>
    <row r="910" spans="1:19" x14ac:dyDescent="0.3">
      <c r="A910">
        <v>907</v>
      </c>
      <c r="B910" t="s">
        <v>1343</v>
      </c>
      <c r="C910" s="6">
        <v>46198</v>
      </c>
      <c r="D910" s="2" t="str">
        <f t="shared" si="28"/>
        <v>June</v>
      </c>
      <c r="E910" t="s">
        <v>337</v>
      </c>
      <c r="F910">
        <v>29</v>
      </c>
      <c r="G910" t="str">
        <f t="shared" si="29"/>
        <v>Teenager</v>
      </c>
      <c r="H910" t="s">
        <v>22</v>
      </c>
      <c r="I910" t="s">
        <v>23</v>
      </c>
      <c r="J910" t="s">
        <v>32</v>
      </c>
      <c r="K910" t="s">
        <v>25</v>
      </c>
      <c r="L910" t="s">
        <v>26</v>
      </c>
      <c r="M910">
        <v>2</v>
      </c>
      <c r="N910">
        <v>11121</v>
      </c>
      <c r="O910">
        <v>22242</v>
      </c>
      <c r="P910" t="s">
        <v>116</v>
      </c>
      <c r="Q910">
        <v>6</v>
      </c>
      <c r="R910">
        <v>4</v>
      </c>
      <c r="S910" t="s">
        <v>46</v>
      </c>
    </row>
    <row r="911" spans="1:19" x14ac:dyDescent="0.3">
      <c r="A911">
        <v>908</v>
      </c>
      <c r="B911" t="s">
        <v>1344</v>
      </c>
      <c r="C911" s="6">
        <v>46199</v>
      </c>
      <c r="D911" s="2" t="str">
        <f t="shared" si="28"/>
        <v>June</v>
      </c>
      <c r="E911" t="s">
        <v>607</v>
      </c>
      <c r="F911">
        <v>20</v>
      </c>
      <c r="G911" t="str">
        <f t="shared" si="29"/>
        <v>Teenager</v>
      </c>
      <c r="H911" t="s">
        <v>42</v>
      </c>
      <c r="I911" t="s">
        <v>80</v>
      </c>
      <c r="J911" t="s">
        <v>32</v>
      </c>
      <c r="K911" t="s">
        <v>38</v>
      </c>
      <c r="L911" t="s">
        <v>135</v>
      </c>
      <c r="M911">
        <v>6</v>
      </c>
      <c r="N911">
        <v>15536</v>
      </c>
      <c r="O911">
        <v>93216</v>
      </c>
      <c r="P911" t="s">
        <v>99</v>
      </c>
      <c r="Q911">
        <v>4</v>
      </c>
      <c r="R911">
        <v>5</v>
      </c>
      <c r="S911" t="s">
        <v>28</v>
      </c>
    </row>
    <row r="912" spans="1:19" x14ac:dyDescent="0.3">
      <c r="A912">
        <v>909</v>
      </c>
      <c r="B912" t="s">
        <v>1345</v>
      </c>
      <c r="C912" s="6">
        <v>46200</v>
      </c>
      <c r="D912" s="2" t="str">
        <f t="shared" si="28"/>
        <v>June</v>
      </c>
      <c r="E912" t="s">
        <v>215</v>
      </c>
      <c r="F912">
        <v>20</v>
      </c>
      <c r="G912" t="str">
        <f t="shared" si="29"/>
        <v>Teenager</v>
      </c>
      <c r="H912" t="s">
        <v>42</v>
      </c>
      <c r="I912" t="s">
        <v>64</v>
      </c>
      <c r="J912" t="s">
        <v>32</v>
      </c>
      <c r="K912" t="s">
        <v>33</v>
      </c>
      <c r="L912" t="s">
        <v>173</v>
      </c>
      <c r="M912">
        <v>2</v>
      </c>
      <c r="N912">
        <v>35625</v>
      </c>
      <c r="O912">
        <v>71250</v>
      </c>
      <c r="P912" t="s">
        <v>53</v>
      </c>
      <c r="Q912">
        <v>8</v>
      </c>
      <c r="R912">
        <v>5</v>
      </c>
      <c r="S912" t="s">
        <v>28</v>
      </c>
    </row>
    <row r="913" spans="1:19" x14ac:dyDescent="0.3">
      <c r="A913">
        <v>910</v>
      </c>
      <c r="B913" t="s">
        <v>1346</v>
      </c>
      <c r="C913" s="6">
        <v>46201</v>
      </c>
      <c r="D913" s="2" t="str">
        <f t="shared" si="28"/>
        <v>June</v>
      </c>
      <c r="E913" t="s">
        <v>639</v>
      </c>
      <c r="F913">
        <v>32</v>
      </c>
      <c r="G913" t="str">
        <f t="shared" si="29"/>
        <v>Adult</v>
      </c>
      <c r="H913" t="s">
        <v>22</v>
      </c>
      <c r="I913" t="s">
        <v>49</v>
      </c>
      <c r="J913" t="s">
        <v>65</v>
      </c>
      <c r="K913" t="s">
        <v>44</v>
      </c>
      <c r="L913" t="s">
        <v>91</v>
      </c>
      <c r="M913">
        <v>5</v>
      </c>
      <c r="N913">
        <v>3769</v>
      </c>
      <c r="O913">
        <v>18845</v>
      </c>
      <c r="P913" t="s">
        <v>99</v>
      </c>
      <c r="Q913">
        <v>6</v>
      </c>
      <c r="R913">
        <v>3</v>
      </c>
      <c r="S913" t="s">
        <v>28</v>
      </c>
    </row>
    <row r="914" spans="1:19" x14ac:dyDescent="0.3">
      <c r="A914">
        <v>911</v>
      </c>
      <c r="B914" t="s">
        <v>1347</v>
      </c>
      <c r="C914" s="6">
        <v>46202</v>
      </c>
      <c r="D914" s="2" t="str">
        <f t="shared" si="28"/>
        <v>June</v>
      </c>
      <c r="E914" t="s">
        <v>394</v>
      </c>
      <c r="F914">
        <v>22</v>
      </c>
      <c r="G914" t="str">
        <f t="shared" si="29"/>
        <v>Teenager</v>
      </c>
      <c r="H914" t="s">
        <v>42</v>
      </c>
      <c r="I914" t="s">
        <v>31</v>
      </c>
      <c r="J914" t="s">
        <v>24</v>
      </c>
      <c r="K914" t="s">
        <v>38</v>
      </c>
      <c r="L914" t="s">
        <v>135</v>
      </c>
      <c r="M914">
        <v>4</v>
      </c>
      <c r="N914">
        <v>31063</v>
      </c>
      <c r="O914">
        <v>124252</v>
      </c>
      <c r="P914" t="s">
        <v>53</v>
      </c>
      <c r="Q914">
        <v>10</v>
      </c>
      <c r="R914">
        <v>5</v>
      </c>
      <c r="S914" t="s">
        <v>46</v>
      </c>
    </row>
    <row r="915" spans="1:19" x14ac:dyDescent="0.3">
      <c r="A915">
        <v>912</v>
      </c>
      <c r="B915" t="s">
        <v>1348</v>
      </c>
      <c r="C915" s="6">
        <v>46203</v>
      </c>
      <c r="D915" s="2" t="str">
        <f t="shared" si="28"/>
        <v>June</v>
      </c>
      <c r="E915" t="s">
        <v>430</v>
      </c>
      <c r="F915">
        <v>31</v>
      </c>
      <c r="G915" t="str">
        <f t="shared" si="29"/>
        <v>Adult</v>
      </c>
      <c r="H915" t="s">
        <v>22</v>
      </c>
      <c r="I915" t="s">
        <v>70</v>
      </c>
      <c r="J915" t="s">
        <v>24</v>
      </c>
      <c r="K915" t="s">
        <v>51</v>
      </c>
      <c r="L915" t="s">
        <v>74</v>
      </c>
      <c r="M915">
        <v>2</v>
      </c>
      <c r="N915">
        <v>782</v>
      </c>
      <c r="O915">
        <v>1564</v>
      </c>
      <c r="P915" t="s">
        <v>99</v>
      </c>
      <c r="Q915">
        <v>9</v>
      </c>
      <c r="R915">
        <v>1</v>
      </c>
      <c r="S915" t="s">
        <v>46</v>
      </c>
    </row>
    <row r="916" spans="1:19" x14ac:dyDescent="0.3">
      <c r="A916">
        <v>913</v>
      </c>
      <c r="B916" t="s">
        <v>1349</v>
      </c>
      <c r="C916" s="6">
        <v>46204</v>
      </c>
      <c r="D916" s="2" t="str">
        <f t="shared" si="28"/>
        <v>July</v>
      </c>
      <c r="E916" t="s">
        <v>164</v>
      </c>
      <c r="F916">
        <v>34</v>
      </c>
      <c r="G916" t="str">
        <f t="shared" si="29"/>
        <v>Adult</v>
      </c>
      <c r="H916" t="s">
        <v>22</v>
      </c>
      <c r="I916" t="s">
        <v>23</v>
      </c>
      <c r="J916" t="s">
        <v>32</v>
      </c>
      <c r="K916" t="s">
        <v>25</v>
      </c>
      <c r="L916" t="s">
        <v>26</v>
      </c>
      <c r="M916">
        <v>4</v>
      </c>
      <c r="N916">
        <v>25093</v>
      </c>
      <c r="O916">
        <v>100372</v>
      </c>
      <c r="P916" t="s">
        <v>61</v>
      </c>
      <c r="Q916">
        <v>4</v>
      </c>
      <c r="R916">
        <v>4</v>
      </c>
      <c r="S916" t="s">
        <v>28</v>
      </c>
    </row>
    <row r="917" spans="1:19" x14ac:dyDescent="0.3">
      <c r="A917">
        <v>914</v>
      </c>
      <c r="B917" t="s">
        <v>1350</v>
      </c>
      <c r="C917" s="6">
        <v>46205</v>
      </c>
      <c r="D917" s="2" t="str">
        <f t="shared" si="28"/>
        <v>July</v>
      </c>
      <c r="E917" t="s">
        <v>349</v>
      </c>
      <c r="F917">
        <v>34</v>
      </c>
      <c r="G917" t="str">
        <f t="shared" si="29"/>
        <v>Adult</v>
      </c>
      <c r="H917" t="s">
        <v>22</v>
      </c>
      <c r="I917" t="s">
        <v>23</v>
      </c>
      <c r="J917" t="s">
        <v>65</v>
      </c>
      <c r="K917" t="s">
        <v>38</v>
      </c>
      <c r="L917" t="s">
        <v>81</v>
      </c>
      <c r="M917">
        <v>4</v>
      </c>
      <c r="N917">
        <v>29193</v>
      </c>
      <c r="O917">
        <v>116772</v>
      </c>
      <c r="P917" t="s">
        <v>27</v>
      </c>
      <c r="Q917">
        <v>1</v>
      </c>
      <c r="R917">
        <v>4</v>
      </c>
      <c r="S917" t="s">
        <v>28</v>
      </c>
    </row>
    <row r="918" spans="1:19" x14ac:dyDescent="0.3">
      <c r="A918">
        <v>915</v>
      </c>
      <c r="B918" t="s">
        <v>1351</v>
      </c>
      <c r="C918" s="6">
        <v>46206</v>
      </c>
      <c r="D918" s="2" t="str">
        <f t="shared" si="28"/>
        <v>July</v>
      </c>
      <c r="E918" t="s">
        <v>1352</v>
      </c>
      <c r="F918">
        <v>25</v>
      </c>
      <c r="G918" t="str">
        <f t="shared" si="29"/>
        <v>Teenager</v>
      </c>
      <c r="H918" t="s">
        <v>42</v>
      </c>
      <c r="I918" t="s">
        <v>64</v>
      </c>
      <c r="J918" t="s">
        <v>50</v>
      </c>
      <c r="K918" t="s">
        <v>25</v>
      </c>
      <c r="L918" t="s">
        <v>26</v>
      </c>
      <c r="M918">
        <v>7</v>
      </c>
      <c r="N918">
        <v>41180</v>
      </c>
      <c r="O918">
        <v>288260</v>
      </c>
      <c r="P918" t="s">
        <v>53</v>
      </c>
      <c r="Q918">
        <v>5</v>
      </c>
      <c r="R918">
        <v>5</v>
      </c>
      <c r="S918" t="s">
        <v>28</v>
      </c>
    </row>
    <row r="919" spans="1:19" x14ac:dyDescent="0.3">
      <c r="A919">
        <v>916</v>
      </c>
      <c r="B919" t="s">
        <v>1353</v>
      </c>
      <c r="C919" s="6">
        <v>46207</v>
      </c>
      <c r="D919" s="2" t="str">
        <f t="shared" si="28"/>
        <v>July</v>
      </c>
      <c r="E919" t="s">
        <v>1354</v>
      </c>
      <c r="F919">
        <v>40</v>
      </c>
      <c r="G919" t="str">
        <f t="shared" si="29"/>
        <v>Adult</v>
      </c>
      <c r="H919" t="s">
        <v>22</v>
      </c>
      <c r="I919" t="s">
        <v>23</v>
      </c>
      <c r="J919" t="s">
        <v>65</v>
      </c>
      <c r="K919" t="s">
        <v>51</v>
      </c>
      <c r="L919" t="s">
        <v>60</v>
      </c>
      <c r="M919">
        <v>2</v>
      </c>
      <c r="N919">
        <v>1527</v>
      </c>
      <c r="O919">
        <v>3054</v>
      </c>
      <c r="P919" t="s">
        <v>116</v>
      </c>
      <c r="Q919">
        <v>6</v>
      </c>
      <c r="R919">
        <v>1</v>
      </c>
      <c r="S919" t="s">
        <v>46</v>
      </c>
    </row>
    <row r="920" spans="1:19" x14ac:dyDescent="0.3">
      <c r="A920">
        <v>917</v>
      </c>
      <c r="B920" t="s">
        <v>1355</v>
      </c>
      <c r="C920" s="6">
        <v>46208</v>
      </c>
      <c r="D920" s="2" t="str">
        <f t="shared" si="28"/>
        <v>July</v>
      </c>
      <c r="E920" t="s">
        <v>1069</v>
      </c>
      <c r="F920">
        <v>42</v>
      </c>
      <c r="G920" t="str">
        <f t="shared" si="29"/>
        <v>Adult</v>
      </c>
      <c r="H920" t="s">
        <v>42</v>
      </c>
      <c r="I920" t="s">
        <v>80</v>
      </c>
      <c r="J920" t="s">
        <v>24</v>
      </c>
      <c r="K920" t="s">
        <v>25</v>
      </c>
      <c r="L920" t="s">
        <v>189</v>
      </c>
      <c r="M920">
        <v>10</v>
      </c>
      <c r="N920">
        <v>21957</v>
      </c>
      <c r="O920">
        <v>219570</v>
      </c>
      <c r="P920" t="s">
        <v>99</v>
      </c>
      <c r="Q920">
        <v>8</v>
      </c>
      <c r="R920">
        <v>1</v>
      </c>
      <c r="S920" t="s">
        <v>28</v>
      </c>
    </row>
    <row r="921" spans="1:19" x14ac:dyDescent="0.3">
      <c r="A921">
        <v>918</v>
      </c>
      <c r="B921" t="s">
        <v>1356</v>
      </c>
      <c r="C921" s="6">
        <v>46209</v>
      </c>
      <c r="D921" s="2" t="str">
        <f t="shared" si="28"/>
        <v>July</v>
      </c>
      <c r="E921" t="s">
        <v>337</v>
      </c>
      <c r="F921">
        <v>43</v>
      </c>
      <c r="G921" t="str">
        <f t="shared" si="29"/>
        <v>Adult</v>
      </c>
      <c r="H921" t="s">
        <v>22</v>
      </c>
      <c r="I921" t="s">
        <v>64</v>
      </c>
      <c r="J921" t="s">
        <v>24</v>
      </c>
      <c r="K921" t="s">
        <v>38</v>
      </c>
      <c r="L921" t="s">
        <v>81</v>
      </c>
      <c r="M921">
        <v>10</v>
      </c>
      <c r="N921">
        <v>41981</v>
      </c>
      <c r="O921">
        <v>419810</v>
      </c>
      <c r="P921" t="s">
        <v>53</v>
      </c>
      <c r="Q921">
        <v>9</v>
      </c>
      <c r="R921">
        <v>5</v>
      </c>
      <c r="S921" t="s">
        <v>46</v>
      </c>
    </row>
    <row r="922" spans="1:19" x14ac:dyDescent="0.3">
      <c r="A922">
        <v>919</v>
      </c>
      <c r="B922" t="s">
        <v>1357</v>
      </c>
      <c r="C922" s="6">
        <v>46210</v>
      </c>
      <c r="D922" s="2" t="str">
        <f t="shared" si="28"/>
        <v>July</v>
      </c>
      <c r="E922" t="s">
        <v>130</v>
      </c>
      <c r="F922">
        <v>57</v>
      </c>
      <c r="G922" t="str">
        <f t="shared" si="29"/>
        <v>Senior</v>
      </c>
      <c r="H922" t="s">
        <v>42</v>
      </c>
      <c r="I922" t="s">
        <v>102</v>
      </c>
      <c r="J922" t="s">
        <v>50</v>
      </c>
      <c r="K922" t="s">
        <v>25</v>
      </c>
      <c r="L922" t="s">
        <v>189</v>
      </c>
      <c r="M922">
        <v>10</v>
      </c>
      <c r="N922">
        <v>5259</v>
      </c>
      <c r="O922">
        <v>52590</v>
      </c>
      <c r="P922" t="s">
        <v>27</v>
      </c>
      <c r="Q922">
        <v>8</v>
      </c>
      <c r="R922">
        <v>3</v>
      </c>
      <c r="S922" t="s">
        <v>28</v>
      </c>
    </row>
    <row r="923" spans="1:19" x14ac:dyDescent="0.3">
      <c r="A923">
        <v>920</v>
      </c>
      <c r="B923" t="s">
        <v>1358</v>
      </c>
      <c r="C923" s="6">
        <v>46211</v>
      </c>
      <c r="D923" s="2" t="str">
        <f t="shared" si="28"/>
        <v>July</v>
      </c>
      <c r="E923" t="s">
        <v>498</v>
      </c>
      <c r="F923">
        <v>19</v>
      </c>
      <c r="G923" t="str">
        <f t="shared" si="29"/>
        <v>Teenager</v>
      </c>
      <c r="H923" t="s">
        <v>22</v>
      </c>
      <c r="I923" t="s">
        <v>70</v>
      </c>
      <c r="J923" t="s">
        <v>65</v>
      </c>
      <c r="K923" t="s">
        <v>38</v>
      </c>
      <c r="L923" t="s">
        <v>71</v>
      </c>
      <c r="M923">
        <v>9</v>
      </c>
      <c r="N923">
        <v>29864</v>
      </c>
      <c r="O923">
        <v>268776</v>
      </c>
      <c r="P923" t="s">
        <v>53</v>
      </c>
      <c r="Q923">
        <v>5</v>
      </c>
      <c r="R923">
        <v>1</v>
      </c>
      <c r="S923" t="s">
        <v>46</v>
      </c>
    </row>
    <row r="924" spans="1:19" x14ac:dyDescent="0.3">
      <c r="A924">
        <v>921</v>
      </c>
      <c r="B924" t="s">
        <v>1359</v>
      </c>
      <c r="C924" s="6">
        <v>46212</v>
      </c>
      <c r="D924" s="2" t="str">
        <f t="shared" si="28"/>
        <v>July</v>
      </c>
      <c r="E924" t="s">
        <v>402</v>
      </c>
      <c r="F924">
        <v>19</v>
      </c>
      <c r="G924" t="str">
        <f t="shared" si="29"/>
        <v>Teenager</v>
      </c>
      <c r="H924" t="s">
        <v>22</v>
      </c>
      <c r="I924" t="s">
        <v>64</v>
      </c>
      <c r="J924" t="s">
        <v>32</v>
      </c>
      <c r="K924" t="s">
        <v>44</v>
      </c>
      <c r="L924" t="s">
        <v>121</v>
      </c>
      <c r="M924">
        <v>4</v>
      </c>
      <c r="N924">
        <v>42626</v>
      </c>
      <c r="O924">
        <v>170504</v>
      </c>
      <c r="P924" t="s">
        <v>116</v>
      </c>
      <c r="Q924">
        <v>4</v>
      </c>
      <c r="R924">
        <v>3</v>
      </c>
      <c r="S924" t="s">
        <v>28</v>
      </c>
    </row>
    <row r="925" spans="1:19" x14ac:dyDescent="0.3">
      <c r="A925">
        <v>922</v>
      </c>
      <c r="B925" t="s">
        <v>1360</v>
      </c>
      <c r="C925" s="6">
        <v>46213</v>
      </c>
      <c r="D925" s="2" t="str">
        <f t="shared" si="28"/>
        <v>July</v>
      </c>
      <c r="E925" t="s">
        <v>1110</v>
      </c>
      <c r="F925">
        <v>36</v>
      </c>
      <c r="G925" t="str">
        <f t="shared" si="29"/>
        <v>Adult</v>
      </c>
      <c r="H925" t="s">
        <v>42</v>
      </c>
      <c r="I925" t="s">
        <v>23</v>
      </c>
      <c r="J925" t="s">
        <v>65</v>
      </c>
      <c r="K925" t="s">
        <v>38</v>
      </c>
      <c r="L925" t="s">
        <v>81</v>
      </c>
      <c r="M925">
        <v>9</v>
      </c>
      <c r="N925">
        <v>9465</v>
      </c>
      <c r="O925">
        <v>85185</v>
      </c>
      <c r="P925" t="s">
        <v>99</v>
      </c>
      <c r="Q925">
        <v>1</v>
      </c>
      <c r="R925">
        <v>1</v>
      </c>
      <c r="S925" t="s">
        <v>28</v>
      </c>
    </row>
    <row r="926" spans="1:19" x14ac:dyDescent="0.3">
      <c r="A926">
        <v>923</v>
      </c>
      <c r="B926" t="s">
        <v>1361</v>
      </c>
      <c r="C926" s="6">
        <v>46214</v>
      </c>
      <c r="D926" s="2" t="str">
        <f t="shared" si="28"/>
        <v>July</v>
      </c>
      <c r="E926" t="s">
        <v>534</v>
      </c>
      <c r="F926">
        <v>40</v>
      </c>
      <c r="G926" t="str">
        <f t="shared" si="29"/>
        <v>Adult</v>
      </c>
      <c r="H926" t="s">
        <v>22</v>
      </c>
      <c r="I926" t="s">
        <v>43</v>
      </c>
      <c r="J926" t="s">
        <v>24</v>
      </c>
      <c r="K926" t="s">
        <v>25</v>
      </c>
      <c r="L926" t="s">
        <v>94</v>
      </c>
      <c r="M926">
        <v>9</v>
      </c>
      <c r="N926">
        <v>26516</v>
      </c>
      <c r="O926">
        <v>238644</v>
      </c>
      <c r="P926" t="s">
        <v>61</v>
      </c>
      <c r="Q926">
        <v>6</v>
      </c>
      <c r="R926">
        <v>2</v>
      </c>
      <c r="S926" t="s">
        <v>28</v>
      </c>
    </row>
    <row r="927" spans="1:19" x14ac:dyDescent="0.3">
      <c r="A927">
        <v>924</v>
      </c>
      <c r="B927" t="s">
        <v>1362</v>
      </c>
      <c r="C927" s="6">
        <v>46215</v>
      </c>
      <c r="D927" s="2" t="str">
        <f t="shared" si="28"/>
        <v>July</v>
      </c>
      <c r="E927" t="s">
        <v>366</v>
      </c>
      <c r="F927">
        <v>42</v>
      </c>
      <c r="G927" t="str">
        <f t="shared" si="29"/>
        <v>Adult</v>
      </c>
      <c r="H927" t="s">
        <v>22</v>
      </c>
      <c r="I927" t="s">
        <v>80</v>
      </c>
      <c r="J927" t="s">
        <v>65</v>
      </c>
      <c r="K927" t="s">
        <v>25</v>
      </c>
      <c r="L927" t="s">
        <v>189</v>
      </c>
      <c r="M927">
        <v>7</v>
      </c>
      <c r="N927">
        <v>977</v>
      </c>
      <c r="O927">
        <v>6839</v>
      </c>
      <c r="P927" t="s">
        <v>53</v>
      </c>
      <c r="Q927">
        <v>8</v>
      </c>
      <c r="R927">
        <v>4</v>
      </c>
      <c r="S927" t="s">
        <v>28</v>
      </c>
    </row>
    <row r="928" spans="1:19" x14ac:dyDescent="0.3">
      <c r="A928">
        <v>925</v>
      </c>
      <c r="B928" t="s">
        <v>1363</v>
      </c>
      <c r="C928" s="6">
        <v>46216</v>
      </c>
      <c r="D928" s="2" t="str">
        <f t="shared" si="28"/>
        <v>July</v>
      </c>
      <c r="E928" t="s">
        <v>383</v>
      </c>
      <c r="F928">
        <v>40</v>
      </c>
      <c r="G928" t="str">
        <f t="shared" si="29"/>
        <v>Adult</v>
      </c>
      <c r="H928" t="s">
        <v>22</v>
      </c>
      <c r="I928" t="s">
        <v>70</v>
      </c>
      <c r="J928" t="s">
        <v>32</v>
      </c>
      <c r="K928" t="s">
        <v>44</v>
      </c>
      <c r="L928" t="s">
        <v>45</v>
      </c>
      <c r="M928">
        <v>2</v>
      </c>
      <c r="N928">
        <v>6694</v>
      </c>
      <c r="O928">
        <v>13388</v>
      </c>
      <c r="P928" t="s">
        <v>61</v>
      </c>
      <c r="Q928">
        <v>1</v>
      </c>
      <c r="R928">
        <v>5</v>
      </c>
      <c r="S928" t="s">
        <v>46</v>
      </c>
    </row>
    <row r="929" spans="1:19" x14ac:dyDescent="0.3">
      <c r="A929">
        <v>926</v>
      </c>
      <c r="B929" t="s">
        <v>1364</v>
      </c>
      <c r="C929" s="6">
        <v>46217</v>
      </c>
      <c r="D929" s="2" t="str">
        <f t="shared" si="28"/>
        <v>July</v>
      </c>
      <c r="E929" t="s">
        <v>394</v>
      </c>
      <c r="F929">
        <v>24</v>
      </c>
      <c r="G929" t="str">
        <f t="shared" si="29"/>
        <v>Teenager</v>
      </c>
      <c r="H929" t="s">
        <v>22</v>
      </c>
      <c r="I929" t="s">
        <v>31</v>
      </c>
      <c r="J929" t="s">
        <v>24</v>
      </c>
      <c r="K929" t="s">
        <v>38</v>
      </c>
      <c r="L929" t="s">
        <v>71</v>
      </c>
      <c r="M929">
        <v>2</v>
      </c>
      <c r="N929">
        <v>1071</v>
      </c>
      <c r="O929">
        <v>2142</v>
      </c>
      <c r="P929" t="s">
        <v>116</v>
      </c>
      <c r="Q929">
        <v>8</v>
      </c>
      <c r="R929">
        <v>4</v>
      </c>
      <c r="S929" t="s">
        <v>28</v>
      </c>
    </row>
    <row r="930" spans="1:19" x14ac:dyDescent="0.3">
      <c r="A930">
        <v>927</v>
      </c>
      <c r="B930" t="s">
        <v>1365</v>
      </c>
      <c r="C930" s="6">
        <v>46218</v>
      </c>
      <c r="D930" s="2" t="str">
        <f t="shared" si="28"/>
        <v>July</v>
      </c>
      <c r="E930" t="s">
        <v>722</v>
      </c>
      <c r="F930">
        <v>27</v>
      </c>
      <c r="G930" t="str">
        <f t="shared" si="29"/>
        <v>Teenager</v>
      </c>
      <c r="H930" t="s">
        <v>22</v>
      </c>
      <c r="I930" t="s">
        <v>64</v>
      </c>
      <c r="J930" t="s">
        <v>50</v>
      </c>
      <c r="K930" t="s">
        <v>51</v>
      </c>
      <c r="L930" t="s">
        <v>74</v>
      </c>
      <c r="M930">
        <v>2</v>
      </c>
      <c r="N930">
        <v>1407</v>
      </c>
      <c r="O930">
        <v>2814</v>
      </c>
      <c r="P930" t="s">
        <v>61</v>
      </c>
      <c r="Q930">
        <v>2</v>
      </c>
      <c r="R930">
        <v>4</v>
      </c>
      <c r="S930" t="s">
        <v>46</v>
      </c>
    </row>
    <row r="931" spans="1:19" x14ac:dyDescent="0.3">
      <c r="A931">
        <v>928</v>
      </c>
      <c r="B931" t="s">
        <v>1366</v>
      </c>
      <c r="C931" s="6">
        <v>46219</v>
      </c>
      <c r="D931" s="2" t="str">
        <f t="shared" si="28"/>
        <v>July</v>
      </c>
      <c r="E931" t="s">
        <v>1175</v>
      </c>
      <c r="F931">
        <v>41</v>
      </c>
      <c r="G931" t="str">
        <f t="shared" si="29"/>
        <v>Adult</v>
      </c>
      <c r="H931" t="s">
        <v>42</v>
      </c>
      <c r="I931" t="s">
        <v>70</v>
      </c>
      <c r="J931" t="s">
        <v>65</v>
      </c>
      <c r="K931" t="s">
        <v>38</v>
      </c>
      <c r="L931" t="s">
        <v>71</v>
      </c>
      <c r="M931">
        <v>7</v>
      </c>
      <c r="N931">
        <v>8930</v>
      </c>
      <c r="O931">
        <v>62510</v>
      </c>
      <c r="P931" t="s">
        <v>61</v>
      </c>
      <c r="Q931">
        <v>9</v>
      </c>
      <c r="R931">
        <v>2</v>
      </c>
      <c r="S931" t="s">
        <v>46</v>
      </c>
    </row>
    <row r="932" spans="1:19" x14ac:dyDescent="0.3">
      <c r="A932">
        <v>929</v>
      </c>
      <c r="B932" t="s">
        <v>1367</v>
      </c>
      <c r="C932" s="6">
        <v>46220</v>
      </c>
      <c r="D932" s="2" t="str">
        <f t="shared" si="28"/>
        <v>July</v>
      </c>
      <c r="E932" t="s">
        <v>123</v>
      </c>
      <c r="F932">
        <v>27</v>
      </c>
      <c r="G932" t="str">
        <f t="shared" si="29"/>
        <v>Teenager</v>
      </c>
      <c r="H932" t="s">
        <v>42</v>
      </c>
      <c r="I932" t="s">
        <v>43</v>
      </c>
      <c r="J932" t="s">
        <v>24</v>
      </c>
      <c r="K932" t="s">
        <v>33</v>
      </c>
      <c r="L932" t="s">
        <v>173</v>
      </c>
      <c r="M932">
        <v>10</v>
      </c>
      <c r="N932">
        <v>30874</v>
      </c>
      <c r="O932">
        <v>308740</v>
      </c>
      <c r="P932" t="s">
        <v>61</v>
      </c>
      <c r="Q932">
        <v>5</v>
      </c>
      <c r="R932">
        <v>5</v>
      </c>
      <c r="S932" t="s">
        <v>46</v>
      </c>
    </row>
    <row r="933" spans="1:19" x14ac:dyDescent="0.3">
      <c r="A933">
        <v>930</v>
      </c>
      <c r="B933" t="s">
        <v>1368</v>
      </c>
      <c r="C933" s="6">
        <v>46221</v>
      </c>
      <c r="D933" s="2" t="str">
        <f t="shared" si="28"/>
        <v>July</v>
      </c>
      <c r="E933" t="s">
        <v>1067</v>
      </c>
      <c r="F933">
        <v>53</v>
      </c>
      <c r="G933" t="str">
        <f t="shared" si="29"/>
        <v>Senior</v>
      </c>
      <c r="H933" t="s">
        <v>42</v>
      </c>
      <c r="I933" t="s">
        <v>43</v>
      </c>
      <c r="J933" t="s">
        <v>50</v>
      </c>
      <c r="K933" t="s">
        <v>44</v>
      </c>
      <c r="L933" t="s">
        <v>91</v>
      </c>
      <c r="M933">
        <v>10</v>
      </c>
      <c r="N933">
        <v>15643</v>
      </c>
      <c r="O933">
        <v>156430</v>
      </c>
      <c r="P933" t="s">
        <v>27</v>
      </c>
      <c r="Q933">
        <v>5</v>
      </c>
      <c r="R933">
        <v>1</v>
      </c>
      <c r="S933" t="s">
        <v>28</v>
      </c>
    </row>
    <row r="934" spans="1:19" x14ac:dyDescent="0.3">
      <c r="A934">
        <v>931</v>
      </c>
      <c r="B934" t="s">
        <v>1369</v>
      </c>
      <c r="C934" s="6">
        <v>46222</v>
      </c>
      <c r="D934" s="2" t="str">
        <f t="shared" si="28"/>
        <v>July</v>
      </c>
      <c r="E934" t="s">
        <v>1062</v>
      </c>
      <c r="F934">
        <v>21</v>
      </c>
      <c r="G934" t="str">
        <f t="shared" si="29"/>
        <v>Teenager</v>
      </c>
      <c r="H934" t="s">
        <v>42</v>
      </c>
      <c r="I934" t="s">
        <v>120</v>
      </c>
      <c r="J934" t="s">
        <v>32</v>
      </c>
      <c r="K934" t="s">
        <v>51</v>
      </c>
      <c r="L934" t="s">
        <v>74</v>
      </c>
      <c r="M934">
        <v>6</v>
      </c>
      <c r="N934">
        <v>1470</v>
      </c>
      <c r="O934">
        <v>8820</v>
      </c>
      <c r="P934" t="s">
        <v>99</v>
      </c>
      <c r="Q934">
        <v>5</v>
      </c>
      <c r="R934">
        <v>4</v>
      </c>
      <c r="S934" t="s">
        <v>28</v>
      </c>
    </row>
    <row r="935" spans="1:19" x14ac:dyDescent="0.3">
      <c r="A935">
        <v>932</v>
      </c>
      <c r="B935" t="s">
        <v>1370</v>
      </c>
      <c r="C935" s="6">
        <v>46223</v>
      </c>
      <c r="D935" s="2" t="str">
        <f t="shared" si="28"/>
        <v>July</v>
      </c>
      <c r="E935" t="s">
        <v>1051</v>
      </c>
      <c r="F935">
        <v>46</v>
      </c>
      <c r="G935" t="str">
        <f t="shared" si="29"/>
        <v>Adult</v>
      </c>
      <c r="H935" t="s">
        <v>22</v>
      </c>
      <c r="I935" t="s">
        <v>43</v>
      </c>
      <c r="J935" t="s">
        <v>50</v>
      </c>
      <c r="K935" t="s">
        <v>25</v>
      </c>
      <c r="L935" t="s">
        <v>94</v>
      </c>
      <c r="M935">
        <v>6</v>
      </c>
      <c r="N935">
        <v>19843</v>
      </c>
      <c r="O935">
        <v>119058</v>
      </c>
      <c r="P935" t="s">
        <v>61</v>
      </c>
      <c r="Q935">
        <v>5</v>
      </c>
      <c r="R935">
        <v>4</v>
      </c>
      <c r="S935" t="s">
        <v>28</v>
      </c>
    </row>
    <row r="936" spans="1:19" x14ac:dyDescent="0.3">
      <c r="A936">
        <v>933</v>
      </c>
      <c r="B936" t="s">
        <v>1371</v>
      </c>
      <c r="C936" s="6">
        <v>46224</v>
      </c>
      <c r="D936" s="2" t="str">
        <f t="shared" si="28"/>
        <v>July</v>
      </c>
      <c r="E936" t="s">
        <v>1372</v>
      </c>
      <c r="F936">
        <v>41</v>
      </c>
      <c r="G936" t="str">
        <f t="shared" si="29"/>
        <v>Adult</v>
      </c>
      <c r="H936" t="s">
        <v>42</v>
      </c>
      <c r="I936" t="s">
        <v>80</v>
      </c>
      <c r="J936" t="s">
        <v>32</v>
      </c>
      <c r="K936" t="s">
        <v>44</v>
      </c>
      <c r="L936" t="s">
        <v>178</v>
      </c>
      <c r="M936">
        <v>3</v>
      </c>
      <c r="N936">
        <v>6751</v>
      </c>
      <c r="O936">
        <v>20253</v>
      </c>
      <c r="P936" t="s">
        <v>61</v>
      </c>
      <c r="Q936">
        <v>7</v>
      </c>
      <c r="R936">
        <v>2</v>
      </c>
      <c r="S936" t="s">
        <v>46</v>
      </c>
    </row>
    <row r="937" spans="1:19" x14ac:dyDescent="0.3">
      <c r="A937">
        <v>934</v>
      </c>
      <c r="B937" t="s">
        <v>1373</v>
      </c>
      <c r="C937" s="6">
        <v>46225</v>
      </c>
      <c r="D937" s="2" t="str">
        <f t="shared" si="28"/>
        <v>July</v>
      </c>
      <c r="E937" t="s">
        <v>227</v>
      </c>
      <c r="F937">
        <v>29</v>
      </c>
      <c r="G937" t="str">
        <f t="shared" si="29"/>
        <v>Teenager</v>
      </c>
      <c r="H937" t="s">
        <v>42</v>
      </c>
      <c r="I937" t="s">
        <v>43</v>
      </c>
      <c r="J937" t="s">
        <v>32</v>
      </c>
      <c r="K937" t="s">
        <v>51</v>
      </c>
      <c r="L937" t="s">
        <v>52</v>
      </c>
      <c r="M937">
        <v>2</v>
      </c>
      <c r="N937">
        <v>1341</v>
      </c>
      <c r="O937">
        <v>2682</v>
      </c>
      <c r="P937" t="s">
        <v>53</v>
      </c>
      <c r="Q937">
        <v>8</v>
      </c>
      <c r="R937">
        <v>1</v>
      </c>
      <c r="S937" t="s">
        <v>28</v>
      </c>
    </row>
    <row r="938" spans="1:19" x14ac:dyDescent="0.3">
      <c r="A938">
        <v>935</v>
      </c>
      <c r="B938" t="s">
        <v>1374</v>
      </c>
      <c r="C938" s="6">
        <v>46226</v>
      </c>
      <c r="D938" s="2" t="str">
        <f t="shared" si="28"/>
        <v>July</v>
      </c>
      <c r="E938" t="s">
        <v>1375</v>
      </c>
      <c r="F938">
        <v>41</v>
      </c>
      <c r="G938" t="str">
        <f t="shared" si="29"/>
        <v>Adult</v>
      </c>
      <c r="H938" t="s">
        <v>22</v>
      </c>
      <c r="I938" t="s">
        <v>37</v>
      </c>
      <c r="J938" t="s">
        <v>50</v>
      </c>
      <c r="K938" t="s">
        <v>38</v>
      </c>
      <c r="L938" t="s">
        <v>71</v>
      </c>
      <c r="M938">
        <v>7</v>
      </c>
      <c r="N938">
        <v>34525</v>
      </c>
      <c r="O938">
        <v>241675</v>
      </c>
      <c r="P938" t="s">
        <v>61</v>
      </c>
      <c r="Q938">
        <v>1</v>
      </c>
      <c r="R938">
        <v>2</v>
      </c>
      <c r="S938" t="s">
        <v>28</v>
      </c>
    </row>
    <row r="939" spans="1:19" x14ac:dyDescent="0.3">
      <c r="A939">
        <v>936</v>
      </c>
      <c r="B939" t="s">
        <v>1376</v>
      </c>
      <c r="C939" s="6">
        <v>46227</v>
      </c>
      <c r="D939" s="2" t="str">
        <f t="shared" si="28"/>
        <v>July</v>
      </c>
      <c r="E939" t="s">
        <v>508</v>
      </c>
      <c r="F939">
        <v>23</v>
      </c>
      <c r="G939" t="str">
        <f t="shared" si="29"/>
        <v>Teenager</v>
      </c>
      <c r="H939" t="s">
        <v>22</v>
      </c>
      <c r="I939" t="s">
        <v>31</v>
      </c>
      <c r="J939" t="s">
        <v>65</v>
      </c>
      <c r="K939" t="s">
        <v>38</v>
      </c>
      <c r="L939" t="s">
        <v>81</v>
      </c>
      <c r="M939">
        <v>2</v>
      </c>
      <c r="N939">
        <v>4247</v>
      </c>
      <c r="O939">
        <v>8494</v>
      </c>
      <c r="P939" t="s">
        <v>61</v>
      </c>
      <c r="Q939">
        <v>9</v>
      </c>
      <c r="R939">
        <v>2</v>
      </c>
      <c r="S939" t="s">
        <v>46</v>
      </c>
    </row>
    <row r="940" spans="1:19" x14ac:dyDescent="0.3">
      <c r="A940">
        <v>937</v>
      </c>
      <c r="B940" t="s">
        <v>1377</v>
      </c>
      <c r="C940" s="6">
        <v>46228</v>
      </c>
      <c r="D940" s="2" t="str">
        <f t="shared" si="28"/>
        <v>July</v>
      </c>
      <c r="E940" t="s">
        <v>1378</v>
      </c>
      <c r="F940">
        <v>44</v>
      </c>
      <c r="G940" t="str">
        <f t="shared" si="29"/>
        <v>Adult</v>
      </c>
      <c r="H940" t="s">
        <v>42</v>
      </c>
      <c r="I940" t="s">
        <v>102</v>
      </c>
      <c r="J940" t="s">
        <v>32</v>
      </c>
      <c r="K940" t="s">
        <v>38</v>
      </c>
      <c r="L940" t="s">
        <v>96</v>
      </c>
      <c r="M940">
        <v>8</v>
      </c>
      <c r="N940">
        <v>40639</v>
      </c>
      <c r="O940">
        <v>325112</v>
      </c>
      <c r="P940" t="s">
        <v>27</v>
      </c>
      <c r="Q940">
        <v>6</v>
      </c>
      <c r="R940">
        <v>4</v>
      </c>
      <c r="S940" t="s">
        <v>46</v>
      </c>
    </row>
    <row r="941" spans="1:19" x14ac:dyDescent="0.3">
      <c r="A941">
        <v>938</v>
      </c>
      <c r="B941" t="s">
        <v>1379</v>
      </c>
      <c r="C941" s="6">
        <v>46229</v>
      </c>
      <c r="D941" s="2" t="str">
        <f t="shared" si="28"/>
        <v>July</v>
      </c>
      <c r="E941" t="s">
        <v>720</v>
      </c>
      <c r="F941">
        <v>22</v>
      </c>
      <c r="G941" t="str">
        <f t="shared" si="29"/>
        <v>Teenager</v>
      </c>
      <c r="H941" t="s">
        <v>22</v>
      </c>
      <c r="I941" t="s">
        <v>120</v>
      </c>
      <c r="J941" t="s">
        <v>50</v>
      </c>
      <c r="K941" t="s">
        <v>44</v>
      </c>
      <c r="L941" t="s">
        <v>91</v>
      </c>
      <c r="M941">
        <v>5</v>
      </c>
      <c r="N941">
        <v>41356</v>
      </c>
      <c r="O941">
        <v>206780</v>
      </c>
      <c r="P941" t="s">
        <v>27</v>
      </c>
      <c r="Q941">
        <v>2</v>
      </c>
      <c r="R941">
        <v>3</v>
      </c>
      <c r="S941" t="s">
        <v>46</v>
      </c>
    </row>
    <row r="942" spans="1:19" x14ac:dyDescent="0.3">
      <c r="A942">
        <v>939</v>
      </c>
      <c r="B942" t="s">
        <v>1380</v>
      </c>
      <c r="C942" s="6">
        <v>46230</v>
      </c>
      <c r="D942" s="2" t="str">
        <f t="shared" si="28"/>
        <v>July</v>
      </c>
      <c r="E942" t="s">
        <v>1074</v>
      </c>
      <c r="F942">
        <v>58</v>
      </c>
      <c r="G942" t="str">
        <f t="shared" si="29"/>
        <v>Senior</v>
      </c>
      <c r="H942" t="s">
        <v>22</v>
      </c>
      <c r="I942" t="s">
        <v>70</v>
      </c>
      <c r="J942" t="s">
        <v>24</v>
      </c>
      <c r="K942" t="s">
        <v>33</v>
      </c>
      <c r="L942" t="s">
        <v>34</v>
      </c>
      <c r="M942">
        <v>5</v>
      </c>
      <c r="N942">
        <v>20760</v>
      </c>
      <c r="O942">
        <v>103800</v>
      </c>
      <c r="P942" t="s">
        <v>61</v>
      </c>
      <c r="Q942">
        <v>2</v>
      </c>
      <c r="R942">
        <v>1</v>
      </c>
      <c r="S942" t="s">
        <v>46</v>
      </c>
    </row>
    <row r="943" spans="1:19" x14ac:dyDescent="0.3">
      <c r="A943">
        <v>940</v>
      </c>
      <c r="B943" t="s">
        <v>1381</v>
      </c>
      <c r="C943" s="6">
        <v>46231</v>
      </c>
      <c r="D943" s="2" t="str">
        <f t="shared" si="28"/>
        <v>July</v>
      </c>
      <c r="E943" t="s">
        <v>248</v>
      </c>
      <c r="F943">
        <v>33</v>
      </c>
      <c r="G943" t="str">
        <f t="shared" si="29"/>
        <v>Adult</v>
      </c>
      <c r="H943" t="s">
        <v>42</v>
      </c>
      <c r="I943" t="s">
        <v>23</v>
      </c>
      <c r="J943" t="s">
        <v>32</v>
      </c>
      <c r="K943" t="s">
        <v>44</v>
      </c>
      <c r="L943" t="s">
        <v>178</v>
      </c>
      <c r="M943">
        <v>1</v>
      </c>
      <c r="N943">
        <v>7169</v>
      </c>
      <c r="O943">
        <v>7169</v>
      </c>
      <c r="P943" t="s">
        <v>61</v>
      </c>
      <c r="Q943">
        <v>6</v>
      </c>
      <c r="R943">
        <v>1</v>
      </c>
      <c r="S943" t="s">
        <v>46</v>
      </c>
    </row>
    <row r="944" spans="1:19" x14ac:dyDescent="0.3">
      <c r="A944">
        <v>941</v>
      </c>
      <c r="B944" t="s">
        <v>1382</v>
      </c>
      <c r="C944" s="6">
        <v>46232</v>
      </c>
      <c r="D944" s="2" t="str">
        <f t="shared" si="28"/>
        <v>July</v>
      </c>
      <c r="E944" t="s">
        <v>757</v>
      </c>
      <c r="F944">
        <v>53</v>
      </c>
      <c r="G944" t="str">
        <f t="shared" si="29"/>
        <v>Senior</v>
      </c>
      <c r="H944" t="s">
        <v>22</v>
      </c>
      <c r="I944" t="s">
        <v>102</v>
      </c>
      <c r="J944" t="s">
        <v>50</v>
      </c>
      <c r="K944" t="s">
        <v>44</v>
      </c>
      <c r="L944" t="s">
        <v>121</v>
      </c>
      <c r="M944">
        <v>7</v>
      </c>
      <c r="N944">
        <v>39988</v>
      </c>
      <c r="O944">
        <v>279916</v>
      </c>
      <c r="P944" t="s">
        <v>99</v>
      </c>
      <c r="Q944">
        <v>2</v>
      </c>
      <c r="R944">
        <v>4</v>
      </c>
      <c r="S944" t="s">
        <v>46</v>
      </c>
    </row>
    <row r="945" spans="1:19" x14ac:dyDescent="0.3">
      <c r="A945">
        <v>942</v>
      </c>
      <c r="B945" t="s">
        <v>1383</v>
      </c>
      <c r="C945" s="6">
        <v>46233</v>
      </c>
      <c r="D945" s="2" t="str">
        <f t="shared" si="28"/>
        <v>July</v>
      </c>
      <c r="E945" t="s">
        <v>1384</v>
      </c>
      <c r="F945">
        <v>22</v>
      </c>
      <c r="G945" t="str">
        <f t="shared" si="29"/>
        <v>Teenager</v>
      </c>
      <c r="H945" t="s">
        <v>42</v>
      </c>
      <c r="I945" t="s">
        <v>49</v>
      </c>
      <c r="J945" t="s">
        <v>24</v>
      </c>
      <c r="K945" t="s">
        <v>33</v>
      </c>
      <c r="L945" t="s">
        <v>173</v>
      </c>
      <c r="M945">
        <v>9</v>
      </c>
      <c r="N945">
        <v>22778</v>
      </c>
      <c r="O945">
        <v>205002</v>
      </c>
      <c r="P945" t="s">
        <v>116</v>
      </c>
      <c r="Q945">
        <v>9</v>
      </c>
      <c r="R945">
        <v>5</v>
      </c>
      <c r="S945" t="s">
        <v>46</v>
      </c>
    </row>
    <row r="946" spans="1:19" x14ac:dyDescent="0.3">
      <c r="A946">
        <v>943</v>
      </c>
      <c r="B946" t="s">
        <v>1385</v>
      </c>
      <c r="C946" s="6">
        <v>46234</v>
      </c>
      <c r="D946" s="2" t="str">
        <f t="shared" si="28"/>
        <v>July</v>
      </c>
      <c r="E946" t="s">
        <v>85</v>
      </c>
      <c r="F946">
        <v>50</v>
      </c>
      <c r="G946" t="str">
        <f t="shared" si="29"/>
        <v>Senior</v>
      </c>
      <c r="H946" t="s">
        <v>42</v>
      </c>
      <c r="I946" t="s">
        <v>37</v>
      </c>
      <c r="J946" t="s">
        <v>32</v>
      </c>
      <c r="K946" t="s">
        <v>51</v>
      </c>
      <c r="L946" t="s">
        <v>60</v>
      </c>
      <c r="M946">
        <v>3</v>
      </c>
      <c r="N946">
        <v>710</v>
      </c>
      <c r="O946">
        <v>2130</v>
      </c>
      <c r="P946" t="s">
        <v>116</v>
      </c>
      <c r="Q946">
        <v>6</v>
      </c>
      <c r="R946">
        <v>5</v>
      </c>
      <c r="S946" t="s">
        <v>28</v>
      </c>
    </row>
    <row r="947" spans="1:19" x14ac:dyDescent="0.3">
      <c r="A947">
        <v>944</v>
      </c>
      <c r="B947" t="s">
        <v>1386</v>
      </c>
      <c r="C947" s="6">
        <v>46235</v>
      </c>
      <c r="D947" s="2" t="str">
        <f t="shared" si="28"/>
        <v>August</v>
      </c>
      <c r="E947" t="s">
        <v>580</v>
      </c>
      <c r="F947">
        <v>34</v>
      </c>
      <c r="G947" t="str">
        <f t="shared" si="29"/>
        <v>Adult</v>
      </c>
      <c r="H947" t="s">
        <v>42</v>
      </c>
      <c r="I947" t="s">
        <v>37</v>
      </c>
      <c r="J947" t="s">
        <v>65</v>
      </c>
      <c r="K947" t="s">
        <v>38</v>
      </c>
      <c r="L947" t="s">
        <v>71</v>
      </c>
      <c r="M947">
        <v>7</v>
      </c>
      <c r="N947">
        <v>22000</v>
      </c>
      <c r="O947">
        <v>154000</v>
      </c>
      <c r="P947" t="s">
        <v>99</v>
      </c>
      <c r="Q947">
        <v>5</v>
      </c>
      <c r="R947">
        <v>3</v>
      </c>
      <c r="S947" t="s">
        <v>46</v>
      </c>
    </row>
    <row r="948" spans="1:19" x14ac:dyDescent="0.3">
      <c r="A948">
        <v>945</v>
      </c>
      <c r="B948" t="s">
        <v>1387</v>
      </c>
      <c r="C948" s="6">
        <v>46236</v>
      </c>
      <c r="D948" s="2" t="str">
        <f t="shared" si="28"/>
        <v>August</v>
      </c>
      <c r="E948" t="s">
        <v>710</v>
      </c>
      <c r="F948">
        <v>21</v>
      </c>
      <c r="G948" t="str">
        <f t="shared" si="29"/>
        <v>Teenager</v>
      </c>
      <c r="H948" t="s">
        <v>42</v>
      </c>
      <c r="I948" t="s">
        <v>120</v>
      </c>
      <c r="J948" t="s">
        <v>24</v>
      </c>
      <c r="K948" t="s">
        <v>25</v>
      </c>
      <c r="L948" t="s">
        <v>26</v>
      </c>
      <c r="M948">
        <v>6</v>
      </c>
      <c r="N948">
        <v>48831</v>
      </c>
      <c r="O948">
        <v>292986</v>
      </c>
      <c r="P948" t="s">
        <v>61</v>
      </c>
      <c r="Q948">
        <v>1</v>
      </c>
      <c r="R948">
        <v>3</v>
      </c>
      <c r="S948" t="s">
        <v>28</v>
      </c>
    </row>
    <row r="949" spans="1:19" x14ac:dyDescent="0.3">
      <c r="A949">
        <v>946</v>
      </c>
      <c r="B949" t="s">
        <v>1388</v>
      </c>
      <c r="C949" s="6">
        <v>46237</v>
      </c>
      <c r="D949" s="2" t="str">
        <f t="shared" si="28"/>
        <v>August</v>
      </c>
      <c r="E949" t="s">
        <v>352</v>
      </c>
      <c r="F949">
        <v>37</v>
      </c>
      <c r="G949" t="str">
        <f t="shared" si="29"/>
        <v>Adult</v>
      </c>
      <c r="H949" t="s">
        <v>22</v>
      </c>
      <c r="I949" t="s">
        <v>70</v>
      </c>
      <c r="J949" t="s">
        <v>24</v>
      </c>
      <c r="K949" t="s">
        <v>44</v>
      </c>
      <c r="L949" t="s">
        <v>224</v>
      </c>
      <c r="M949">
        <v>3</v>
      </c>
      <c r="N949">
        <v>1980</v>
      </c>
      <c r="O949">
        <v>5940</v>
      </c>
      <c r="P949" t="s">
        <v>99</v>
      </c>
      <c r="Q949">
        <v>5</v>
      </c>
      <c r="R949">
        <v>4</v>
      </c>
      <c r="S949" t="s">
        <v>46</v>
      </c>
    </row>
    <row r="950" spans="1:19" x14ac:dyDescent="0.3">
      <c r="A950">
        <v>947</v>
      </c>
      <c r="B950" t="s">
        <v>1389</v>
      </c>
      <c r="C950" s="6">
        <v>46238</v>
      </c>
      <c r="D950" s="2" t="str">
        <f t="shared" si="28"/>
        <v>August</v>
      </c>
      <c r="E950" t="s">
        <v>337</v>
      </c>
      <c r="F950">
        <v>47</v>
      </c>
      <c r="G950" t="str">
        <f t="shared" si="29"/>
        <v>Adult</v>
      </c>
      <c r="H950" t="s">
        <v>22</v>
      </c>
      <c r="I950" t="s">
        <v>102</v>
      </c>
      <c r="J950" t="s">
        <v>50</v>
      </c>
      <c r="K950" t="s">
        <v>38</v>
      </c>
      <c r="L950" t="s">
        <v>96</v>
      </c>
      <c r="M950">
        <v>1</v>
      </c>
      <c r="N950">
        <v>49903</v>
      </c>
      <c r="O950">
        <v>49903</v>
      </c>
      <c r="P950" t="s">
        <v>53</v>
      </c>
      <c r="Q950">
        <v>6</v>
      </c>
      <c r="R950">
        <v>2</v>
      </c>
      <c r="S950" t="s">
        <v>46</v>
      </c>
    </row>
    <row r="951" spans="1:19" x14ac:dyDescent="0.3">
      <c r="A951">
        <v>948</v>
      </c>
      <c r="B951" t="s">
        <v>1390</v>
      </c>
      <c r="C951" s="6">
        <v>46239</v>
      </c>
      <c r="D951" s="2" t="str">
        <f t="shared" si="28"/>
        <v>August</v>
      </c>
      <c r="E951" t="s">
        <v>1144</v>
      </c>
      <c r="F951">
        <v>41</v>
      </c>
      <c r="G951" t="str">
        <f t="shared" si="29"/>
        <v>Adult</v>
      </c>
      <c r="H951" t="s">
        <v>42</v>
      </c>
      <c r="I951" t="s">
        <v>102</v>
      </c>
      <c r="J951" t="s">
        <v>24</v>
      </c>
      <c r="K951" t="s">
        <v>38</v>
      </c>
      <c r="L951" t="s">
        <v>71</v>
      </c>
      <c r="M951">
        <v>1</v>
      </c>
      <c r="N951">
        <v>1154</v>
      </c>
      <c r="O951">
        <v>1154</v>
      </c>
      <c r="P951" t="s">
        <v>53</v>
      </c>
      <c r="Q951">
        <v>4</v>
      </c>
      <c r="R951">
        <v>1</v>
      </c>
      <c r="S951" t="s">
        <v>46</v>
      </c>
    </row>
    <row r="952" spans="1:19" x14ac:dyDescent="0.3">
      <c r="A952">
        <v>949</v>
      </c>
      <c r="B952" t="s">
        <v>1391</v>
      </c>
      <c r="C952" s="6">
        <v>46240</v>
      </c>
      <c r="D952" s="2" t="str">
        <f t="shared" si="28"/>
        <v>August</v>
      </c>
      <c r="E952" t="s">
        <v>428</v>
      </c>
      <c r="F952">
        <v>43</v>
      </c>
      <c r="G952" t="str">
        <f t="shared" si="29"/>
        <v>Adult</v>
      </c>
      <c r="H952" t="s">
        <v>22</v>
      </c>
      <c r="I952" t="s">
        <v>37</v>
      </c>
      <c r="J952" t="s">
        <v>65</v>
      </c>
      <c r="K952" t="s">
        <v>51</v>
      </c>
      <c r="L952" t="s">
        <v>111</v>
      </c>
      <c r="M952">
        <v>8</v>
      </c>
      <c r="N952">
        <v>485</v>
      </c>
      <c r="O952">
        <v>3880</v>
      </c>
      <c r="P952" t="s">
        <v>27</v>
      </c>
      <c r="Q952">
        <v>2</v>
      </c>
      <c r="R952">
        <v>3</v>
      </c>
      <c r="S952" t="s">
        <v>28</v>
      </c>
    </row>
    <row r="953" spans="1:19" x14ac:dyDescent="0.3">
      <c r="A953">
        <v>950</v>
      </c>
      <c r="B953" t="s">
        <v>1392</v>
      </c>
      <c r="C953" s="6">
        <v>46241</v>
      </c>
      <c r="D953" s="2" t="str">
        <f t="shared" si="28"/>
        <v>August</v>
      </c>
      <c r="E953" t="s">
        <v>439</v>
      </c>
      <c r="F953">
        <v>31</v>
      </c>
      <c r="G953" t="str">
        <f t="shared" si="29"/>
        <v>Adult</v>
      </c>
      <c r="H953" t="s">
        <v>22</v>
      </c>
      <c r="I953" t="s">
        <v>80</v>
      </c>
      <c r="J953" t="s">
        <v>24</v>
      </c>
      <c r="K953" t="s">
        <v>25</v>
      </c>
      <c r="L953" t="s">
        <v>26</v>
      </c>
      <c r="M953">
        <v>4</v>
      </c>
      <c r="N953">
        <v>49182</v>
      </c>
      <c r="O953">
        <v>196728</v>
      </c>
      <c r="P953" t="s">
        <v>116</v>
      </c>
      <c r="Q953">
        <v>5</v>
      </c>
      <c r="R953">
        <v>1</v>
      </c>
      <c r="S953" t="s">
        <v>28</v>
      </c>
    </row>
    <row r="954" spans="1:19" x14ac:dyDescent="0.3">
      <c r="A954">
        <v>951</v>
      </c>
      <c r="B954" t="s">
        <v>1393</v>
      </c>
      <c r="C954" s="6">
        <v>46242</v>
      </c>
      <c r="D954" s="2" t="str">
        <f t="shared" si="28"/>
        <v>August</v>
      </c>
      <c r="E954" t="s">
        <v>1129</v>
      </c>
      <c r="F954">
        <v>20</v>
      </c>
      <c r="G954" t="str">
        <f t="shared" si="29"/>
        <v>Teenager</v>
      </c>
      <c r="H954" t="s">
        <v>22</v>
      </c>
      <c r="I954" t="s">
        <v>37</v>
      </c>
      <c r="J954" t="s">
        <v>65</v>
      </c>
      <c r="K954" t="s">
        <v>33</v>
      </c>
      <c r="L954" t="s">
        <v>160</v>
      </c>
      <c r="M954">
        <v>8</v>
      </c>
      <c r="N954">
        <v>14223</v>
      </c>
      <c r="O954">
        <v>113784</v>
      </c>
      <c r="P954" t="s">
        <v>116</v>
      </c>
      <c r="Q954">
        <v>9</v>
      </c>
      <c r="R954">
        <v>3</v>
      </c>
      <c r="S954" t="s">
        <v>28</v>
      </c>
    </row>
    <row r="955" spans="1:19" x14ac:dyDescent="0.3">
      <c r="A955">
        <v>952</v>
      </c>
      <c r="B955" t="s">
        <v>1394</v>
      </c>
      <c r="C955" s="6">
        <v>46243</v>
      </c>
      <c r="D955" s="2" t="str">
        <f t="shared" si="28"/>
        <v>August</v>
      </c>
      <c r="E955" t="s">
        <v>785</v>
      </c>
      <c r="F955">
        <v>60</v>
      </c>
      <c r="G955" t="str">
        <f t="shared" si="29"/>
        <v>Senior</v>
      </c>
      <c r="H955" t="s">
        <v>42</v>
      </c>
      <c r="I955" t="s">
        <v>80</v>
      </c>
      <c r="J955" t="s">
        <v>24</v>
      </c>
      <c r="K955" t="s">
        <v>44</v>
      </c>
      <c r="L955" t="s">
        <v>178</v>
      </c>
      <c r="M955">
        <v>9</v>
      </c>
      <c r="N955">
        <v>28564</v>
      </c>
      <c r="O955">
        <v>257076</v>
      </c>
      <c r="P955" t="s">
        <v>61</v>
      </c>
      <c r="Q955">
        <v>8</v>
      </c>
      <c r="R955">
        <v>5</v>
      </c>
      <c r="S955" t="s">
        <v>46</v>
      </c>
    </row>
    <row r="956" spans="1:19" x14ac:dyDescent="0.3">
      <c r="A956">
        <v>953</v>
      </c>
      <c r="B956" t="s">
        <v>1395</v>
      </c>
      <c r="C956" s="6">
        <v>46244</v>
      </c>
      <c r="D956" s="2" t="str">
        <f t="shared" si="28"/>
        <v>August</v>
      </c>
      <c r="E956" t="s">
        <v>859</v>
      </c>
      <c r="F956">
        <v>39</v>
      </c>
      <c r="G956" t="str">
        <f t="shared" si="29"/>
        <v>Adult</v>
      </c>
      <c r="H956" t="s">
        <v>22</v>
      </c>
      <c r="I956" t="s">
        <v>64</v>
      </c>
      <c r="J956" t="s">
        <v>65</v>
      </c>
      <c r="K956" t="s">
        <v>51</v>
      </c>
      <c r="L956" t="s">
        <v>86</v>
      </c>
      <c r="M956">
        <v>5</v>
      </c>
      <c r="N956">
        <v>1652</v>
      </c>
      <c r="O956">
        <v>8260</v>
      </c>
      <c r="P956" t="s">
        <v>61</v>
      </c>
      <c r="Q956">
        <v>1</v>
      </c>
      <c r="R956">
        <v>1</v>
      </c>
      <c r="S956" t="s">
        <v>28</v>
      </c>
    </row>
    <row r="957" spans="1:19" x14ac:dyDescent="0.3">
      <c r="A957">
        <v>954</v>
      </c>
      <c r="B957" t="s">
        <v>1396</v>
      </c>
      <c r="C957" s="6">
        <v>46245</v>
      </c>
      <c r="D957" s="2" t="str">
        <f t="shared" si="28"/>
        <v>August</v>
      </c>
      <c r="E957" t="s">
        <v>159</v>
      </c>
      <c r="F957">
        <v>32</v>
      </c>
      <c r="G957" t="str">
        <f t="shared" si="29"/>
        <v>Adult</v>
      </c>
      <c r="H957" t="s">
        <v>22</v>
      </c>
      <c r="I957" t="s">
        <v>23</v>
      </c>
      <c r="J957" t="s">
        <v>24</v>
      </c>
      <c r="K957" t="s">
        <v>44</v>
      </c>
      <c r="L957" t="s">
        <v>45</v>
      </c>
      <c r="M957">
        <v>8</v>
      </c>
      <c r="N957">
        <v>10271</v>
      </c>
      <c r="O957">
        <v>82168</v>
      </c>
      <c r="P957" t="s">
        <v>99</v>
      </c>
      <c r="Q957">
        <v>6</v>
      </c>
      <c r="R957">
        <v>3</v>
      </c>
      <c r="S957" t="s">
        <v>46</v>
      </c>
    </row>
    <row r="958" spans="1:19" x14ac:dyDescent="0.3">
      <c r="A958">
        <v>955</v>
      </c>
      <c r="B958" t="s">
        <v>1397</v>
      </c>
      <c r="C958" s="6">
        <v>46246</v>
      </c>
      <c r="D958" s="2" t="str">
        <f t="shared" si="28"/>
        <v>August</v>
      </c>
      <c r="E958" t="s">
        <v>508</v>
      </c>
      <c r="F958">
        <v>40</v>
      </c>
      <c r="G958" t="str">
        <f t="shared" si="29"/>
        <v>Adult</v>
      </c>
      <c r="H958" t="s">
        <v>42</v>
      </c>
      <c r="I958" t="s">
        <v>102</v>
      </c>
      <c r="J958" t="s">
        <v>65</v>
      </c>
      <c r="K958" t="s">
        <v>25</v>
      </c>
      <c r="L958" t="s">
        <v>124</v>
      </c>
      <c r="M958">
        <v>1</v>
      </c>
      <c r="N958">
        <v>20446</v>
      </c>
      <c r="O958">
        <v>20446</v>
      </c>
      <c r="P958" t="s">
        <v>27</v>
      </c>
      <c r="Q958">
        <v>1</v>
      </c>
      <c r="R958">
        <v>5</v>
      </c>
      <c r="S958" t="s">
        <v>28</v>
      </c>
    </row>
    <row r="959" spans="1:19" x14ac:dyDescent="0.3">
      <c r="A959">
        <v>956</v>
      </c>
      <c r="B959" t="s">
        <v>1398</v>
      </c>
      <c r="C959" s="6">
        <v>46247</v>
      </c>
      <c r="D959" s="2" t="str">
        <f t="shared" si="28"/>
        <v>August</v>
      </c>
      <c r="E959" t="s">
        <v>168</v>
      </c>
      <c r="F959">
        <v>46</v>
      </c>
      <c r="G959" t="str">
        <f t="shared" si="29"/>
        <v>Adult</v>
      </c>
      <c r="H959" t="s">
        <v>42</v>
      </c>
      <c r="I959" t="s">
        <v>37</v>
      </c>
      <c r="J959" t="s">
        <v>32</v>
      </c>
      <c r="K959" t="s">
        <v>25</v>
      </c>
      <c r="L959" t="s">
        <v>189</v>
      </c>
      <c r="M959">
        <v>2</v>
      </c>
      <c r="N959">
        <v>24920</v>
      </c>
      <c r="O959">
        <v>49840</v>
      </c>
      <c r="P959" t="s">
        <v>99</v>
      </c>
      <c r="Q959">
        <v>7</v>
      </c>
      <c r="R959">
        <v>3</v>
      </c>
      <c r="S959" t="s">
        <v>28</v>
      </c>
    </row>
    <row r="960" spans="1:19" x14ac:dyDescent="0.3">
      <c r="A960">
        <v>957</v>
      </c>
      <c r="B960" t="s">
        <v>1399</v>
      </c>
      <c r="C960" s="6">
        <v>46248</v>
      </c>
      <c r="D960" s="2" t="str">
        <f t="shared" si="28"/>
        <v>August</v>
      </c>
      <c r="E960" t="s">
        <v>538</v>
      </c>
      <c r="F960">
        <v>46</v>
      </c>
      <c r="G960" t="str">
        <f t="shared" si="29"/>
        <v>Adult</v>
      </c>
      <c r="H960" t="s">
        <v>42</v>
      </c>
      <c r="I960" t="s">
        <v>102</v>
      </c>
      <c r="J960" t="s">
        <v>65</v>
      </c>
      <c r="K960" t="s">
        <v>25</v>
      </c>
      <c r="L960" t="s">
        <v>124</v>
      </c>
      <c r="M960">
        <v>10</v>
      </c>
      <c r="N960">
        <v>33659</v>
      </c>
      <c r="O960">
        <v>336590</v>
      </c>
      <c r="P960" t="s">
        <v>61</v>
      </c>
      <c r="Q960">
        <v>4</v>
      </c>
      <c r="R960">
        <v>5</v>
      </c>
      <c r="S960" t="s">
        <v>46</v>
      </c>
    </row>
    <row r="961" spans="1:19" x14ac:dyDescent="0.3">
      <c r="A961">
        <v>958</v>
      </c>
      <c r="B961" t="s">
        <v>1400</v>
      </c>
      <c r="C961" s="6">
        <v>46249</v>
      </c>
      <c r="D961" s="2" t="str">
        <f t="shared" si="28"/>
        <v>August</v>
      </c>
      <c r="E961" t="s">
        <v>569</v>
      </c>
      <c r="F961">
        <v>38</v>
      </c>
      <c r="G961" t="str">
        <f t="shared" si="29"/>
        <v>Adult</v>
      </c>
      <c r="H961" t="s">
        <v>42</v>
      </c>
      <c r="I961" t="s">
        <v>31</v>
      </c>
      <c r="J961" t="s">
        <v>50</v>
      </c>
      <c r="K961" t="s">
        <v>25</v>
      </c>
      <c r="L961" t="s">
        <v>189</v>
      </c>
      <c r="M961">
        <v>8</v>
      </c>
      <c r="N961">
        <v>36340</v>
      </c>
      <c r="O961">
        <v>290720</v>
      </c>
      <c r="P961" t="s">
        <v>116</v>
      </c>
      <c r="Q961">
        <v>10</v>
      </c>
      <c r="R961">
        <v>3</v>
      </c>
      <c r="S961" t="s">
        <v>28</v>
      </c>
    </row>
    <row r="962" spans="1:19" x14ac:dyDescent="0.3">
      <c r="A962">
        <v>959</v>
      </c>
      <c r="B962" t="s">
        <v>1401</v>
      </c>
      <c r="C962" s="6">
        <v>46250</v>
      </c>
      <c r="D962" s="2" t="str">
        <f t="shared" si="28"/>
        <v>August</v>
      </c>
      <c r="E962" t="s">
        <v>1283</v>
      </c>
      <c r="F962">
        <v>56</v>
      </c>
      <c r="G962" t="str">
        <f t="shared" si="29"/>
        <v>Senior</v>
      </c>
      <c r="H962" t="s">
        <v>22</v>
      </c>
      <c r="I962" t="s">
        <v>64</v>
      </c>
      <c r="J962" t="s">
        <v>50</v>
      </c>
      <c r="K962" t="s">
        <v>38</v>
      </c>
      <c r="L962" t="s">
        <v>71</v>
      </c>
      <c r="M962">
        <v>7</v>
      </c>
      <c r="N962">
        <v>45776</v>
      </c>
      <c r="O962">
        <v>320432</v>
      </c>
      <c r="P962" t="s">
        <v>116</v>
      </c>
      <c r="Q962">
        <v>7</v>
      </c>
      <c r="R962">
        <v>4</v>
      </c>
      <c r="S962" t="s">
        <v>46</v>
      </c>
    </row>
    <row r="963" spans="1:19" x14ac:dyDescent="0.3">
      <c r="A963">
        <v>960</v>
      </c>
      <c r="B963" t="s">
        <v>1402</v>
      </c>
      <c r="C963" s="6">
        <v>46251</v>
      </c>
      <c r="D963" s="2" t="str">
        <f t="shared" si="28"/>
        <v>August</v>
      </c>
      <c r="E963" t="s">
        <v>593</v>
      </c>
      <c r="F963">
        <v>52</v>
      </c>
      <c r="G963" t="str">
        <f t="shared" si="29"/>
        <v>Senior</v>
      </c>
      <c r="H963" t="s">
        <v>22</v>
      </c>
      <c r="I963" t="s">
        <v>37</v>
      </c>
      <c r="J963" t="s">
        <v>32</v>
      </c>
      <c r="K963" t="s">
        <v>33</v>
      </c>
      <c r="L963" t="s">
        <v>89</v>
      </c>
      <c r="M963">
        <v>7</v>
      </c>
      <c r="N963">
        <v>44418</v>
      </c>
      <c r="O963">
        <v>310926</v>
      </c>
      <c r="P963" t="s">
        <v>99</v>
      </c>
      <c r="Q963">
        <v>3</v>
      </c>
      <c r="R963">
        <v>1</v>
      </c>
      <c r="S963" t="s">
        <v>28</v>
      </c>
    </row>
    <row r="964" spans="1:19" x14ac:dyDescent="0.3">
      <c r="A964">
        <v>961</v>
      </c>
      <c r="B964" t="s">
        <v>1403</v>
      </c>
      <c r="C964" s="6">
        <v>46252</v>
      </c>
      <c r="D964" s="2" t="str">
        <f t="shared" ref="D964:D1003" si="30">TEXT(C964,"mmmm")</f>
        <v>August</v>
      </c>
      <c r="E964" t="s">
        <v>98</v>
      </c>
      <c r="F964">
        <v>31</v>
      </c>
      <c r="G964" t="str">
        <f t="shared" ref="G964:G1003" si="31">IF(F964&gt;=50,"Senior",IF(F964&gt;=30,"Adult","Teenager"))</f>
        <v>Adult</v>
      </c>
      <c r="H964" t="s">
        <v>22</v>
      </c>
      <c r="I964" t="s">
        <v>49</v>
      </c>
      <c r="J964" t="s">
        <v>24</v>
      </c>
      <c r="K964" t="s">
        <v>25</v>
      </c>
      <c r="L964" t="s">
        <v>77</v>
      </c>
      <c r="M964">
        <v>1</v>
      </c>
      <c r="N964">
        <v>6169</v>
      </c>
      <c r="O964">
        <v>6169</v>
      </c>
      <c r="P964" t="s">
        <v>116</v>
      </c>
      <c r="Q964">
        <v>8</v>
      </c>
      <c r="R964">
        <v>5</v>
      </c>
      <c r="S964" t="s">
        <v>28</v>
      </c>
    </row>
    <row r="965" spans="1:19" x14ac:dyDescent="0.3">
      <c r="A965">
        <v>962</v>
      </c>
      <c r="B965" t="s">
        <v>1404</v>
      </c>
      <c r="C965" s="6">
        <v>46253</v>
      </c>
      <c r="D965" s="2" t="str">
        <f t="shared" si="30"/>
        <v>August</v>
      </c>
      <c r="E965" t="s">
        <v>639</v>
      </c>
      <c r="F965">
        <v>45</v>
      </c>
      <c r="G965" t="str">
        <f t="shared" si="31"/>
        <v>Adult</v>
      </c>
      <c r="H965" t="s">
        <v>42</v>
      </c>
      <c r="I965" t="s">
        <v>31</v>
      </c>
      <c r="J965" t="s">
        <v>32</v>
      </c>
      <c r="K965" t="s">
        <v>25</v>
      </c>
      <c r="L965" t="s">
        <v>26</v>
      </c>
      <c r="M965">
        <v>3</v>
      </c>
      <c r="N965">
        <v>4879</v>
      </c>
      <c r="O965">
        <v>14637</v>
      </c>
      <c r="P965" t="s">
        <v>99</v>
      </c>
      <c r="Q965">
        <v>3</v>
      </c>
      <c r="R965">
        <v>3</v>
      </c>
      <c r="S965" t="s">
        <v>28</v>
      </c>
    </row>
    <row r="966" spans="1:19" x14ac:dyDescent="0.3">
      <c r="A966">
        <v>963</v>
      </c>
      <c r="B966" t="s">
        <v>1405</v>
      </c>
      <c r="C966" s="6">
        <v>46254</v>
      </c>
      <c r="D966" s="2" t="str">
        <f t="shared" si="30"/>
        <v>August</v>
      </c>
      <c r="E966" t="s">
        <v>1067</v>
      </c>
      <c r="F966">
        <v>28</v>
      </c>
      <c r="G966" t="str">
        <f t="shared" si="31"/>
        <v>Teenager</v>
      </c>
      <c r="H966" t="s">
        <v>22</v>
      </c>
      <c r="I966" t="s">
        <v>37</v>
      </c>
      <c r="J966" t="s">
        <v>24</v>
      </c>
      <c r="K966" t="s">
        <v>51</v>
      </c>
      <c r="L966" t="s">
        <v>74</v>
      </c>
      <c r="M966">
        <v>6</v>
      </c>
      <c r="N966">
        <v>584</v>
      </c>
      <c r="O966">
        <v>3504</v>
      </c>
      <c r="P966" t="s">
        <v>99</v>
      </c>
      <c r="Q966">
        <v>2</v>
      </c>
      <c r="R966">
        <v>3</v>
      </c>
      <c r="S966" t="s">
        <v>46</v>
      </c>
    </row>
    <row r="967" spans="1:19" x14ac:dyDescent="0.3">
      <c r="A967">
        <v>964</v>
      </c>
      <c r="B967" t="s">
        <v>1406</v>
      </c>
      <c r="C967" s="6">
        <v>46255</v>
      </c>
      <c r="D967" s="2" t="str">
        <f t="shared" si="30"/>
        <v>August</v>
      </c>
      <c r="E967" t="s">
        <v>273</v>
      </c>
      <c r="F967">
        <v>40</v>
      </c>
      <c r="G967" t="str">
        <f t="shared" si="31"/>
        <v>Adult</v>
      </c>
      <c r="H967" t="s">
        <v>22</v>
      </c>
      <c r="I967" t="s">
        <v>23</v>
      </c>
      <c r="J967" t="s">
        <v>50</v>
      </c>
      <c r="K967" t="s">
        <v>33</v>
      </c>
      <c r="L967" t="s">
        <v>89</v>
      </c>
      <c r="M967">
        <v>10</v>
      </c>
      <c r="N967">
        <v>31201</v>
      </c>
      <c r="O967">
        <v>312010</v>
      </c>
      <c r="P967" t="s">
        <v>99</v>
      </c>
      <c r="Q967">
        <v>3</v>
      </c>
      <c r="R967">
        <v>3</v>
      </c>
      <c r="S967" t="s">
        <v>28</v>
      </c>
    </row>
    <row r="968" spans="1:19" x14ac:dyDescent="0.3">
      <c r="A968">
        <v>965</v>
      </c>
      <c r="B968" t="s">
        <v>1407</v>
      </c>
      <c r="C968" s="6">
        <v>46256</v>
      </c>
      <c r="D968" s="2" t="str">
        <f t="shared" si="30"/>
        <v>August</v>
      </c>
      <c r="E968" t="s">
        <v>607</v>
      </c>
      <c r="F968">
        <v>47</v>
      </c>
      <c r="G968" t="str">
        <f t="shared" si="31"/>
        <v>Adult</v>
      </c>
      <c r="H968" t="s">
        <v>42</v>
      </c>
      <c r="I968" t="s">
        <v>49</v>
      </c>
      <c r="J968" t="s">
        <v>24</v>
      </c>
      <c r="K968" t="s">
        <v>25</v>
      </c>
      <c r="L968" t="s">
        <v>124</v>
      </c>
      <c r="M968">
        <v>5</v>
      </c>
      <c r="N968">
        <v>25917</v>
      </c>
      <c r="O968">
        <v>129585</v>
      </c>
      <c r="P968" t="s">
        <v>99</v>
      </c>
      <c r="Q968">
        <v>9</v>
      </c>
      <c r="R968">
        <v>4</v>
      </c>
      <c r="S968" t="s">
        <v>46</v>
      </c>
    </row>
    <row r="969" spans="1:19" x14ac:dyDescent="0.3">
      <c r="A969">
        <v>966</v>
      </c>
      <c r="B969" t="s">
        <v>1408</v>
      </c>
      <c r="C969" s="6">
        <v>46257</v>
      </c>
      <c r="D969" s="2" t="str">
        <f t="shared" si="30"/>
        <v>August</v>
      </c>
      <c r="E969" t="s">
        <v>1409</v>
      </c>
      <c r="F969">
        <v>45</v>
      </c>
      <c r="G969" t="str">
        <f t="shared" si="31"/>
        <v>Adult</v>
      </c>
      <c r="H969" t="s">
        <v>22</v>
      </c>
      <c r="I969" t="s">
        <v>43</v>
      </c>
      <c r="J969" t="s">
        <v>50</v>
      </c>
      <c r="K969" t="s">
        <v>44</v>
      </c>
      <c r="L969" t="s">
        <v>224</v>
      </c>
      <c r="M969">
        <v>1</v>
      </c>
      <c r="N969">
        <v>29204</v>
      </c>
      <c r="O969">
        <v>29204</v>
      </c>
      <c r="P969" t="s">
        <v>116</v>
      </c>
      <c r="Q969">
        <v>1</v>
      </c>
      <c r="R969">
        <v>5</v>
      </c>
      <c r="S969" t="s">
        <v>46</v>
      </c>
    </row>
    <row r="970" spans="1:19" x14ac:dyDescent="0.3">
      <c r="A970">
        <v>967</v>
      </c>
      <c r="B970" t="s">
        <v>1410</v>
      </c>
      <c r="C970" s="6">
        <v>46258</v>
      </c>
      <c r="D970" s="2" t="str">
        <f t="shared" si="30"/>
        <v>August</v>
      </c>
      <c r="E970" t="s">
        <v>1144</v>
      </c>
      <c r="F970">
        <v>55</v>
      </c>
      <c r="G970" t="str">
        <f t="shared" si="31"/>
        <v>Senior</v>
      </c>
      <c r="H970" t="s">
        <v>22</v>
      </c>
      <c r="I970" t="s">
        <v>37</v>
      </c>
      <c r="J970" t="s">
        <v>65</v>
      </c>
      <c r="K970" t="s">
        <v>33</v>
      </c>
      <c r="L970" t="s">
        <v>89</v>
      </c>
      <c r="M970">
        <v>1</v>
      </c>
      <c r="N970">
        <v>32409</v>
      </c>
      <c r="O970">
        <v>32409</v>
      </c>
      <c r="P970" t="s">
        <v>99</v>
      </c>
      <c r="Q970">
        <v>6</v>
      </c>
      <c r="R970">
        <v>4</v>
      </c>
      <c r="S970" t="s">
        <v>46</v>
      </c>
    </row>
    <row r="971" spans="1:19" x14ac:dyDescent="0.3">
      <c r="A971">
        <v>968</v>
      </c>
      <c r="B971" t="s">
        <v>1411</v>
      </c>
      <c r="C971" s="6">
        <v>46259</v>
      </c>
      <c r="D971" s="2" t="str">
        <f t="shared" si="30"/>
        <v>August</v>
      </c>
      <c r="E971" t="s">
        <v>745</v>
      </c>
      <c r="F971">
        <v>19</v>
      </c>
      <c r="G971" t="str">
        <f t="shared" si="31"/>
        <v>Teenager</v>
      </c>
      <c r="H971" t="s">
        <v>42</v>
      </c>
      <c r="I971" t="s">
        <v>37</v>
      </c>
      <c r="J971" t="s">
        <v>65</v>
      </c>
      <c r="K971" t="s">
        <v>38</v>
      </c>
      <c r="L971" t="s">
        <v>81</v>
      </c>
      <c r="M971">
        <v>2</v>
      </c>
      <c r="N971">
        <v>45025</v>
      </c>
      <c r="O971">
        <v>90050</v>
      </c>
      <c r="P971" t="s">
        <v>61</v>
      </c>
      <c r="Q971">
        <v>7</v>
      </c>
      <c r="R971">
        <v>1</v>
      </c>
      <c r="S971" t="s">
        <v>28</v>
      </c>
    </row>
    <row r="972" spans="1:19" x14ac:dyDescent="0.3">
      <c r="A972">
        <v>969</v>
      </c>
      <c r="B972" t="s">
        <v>1412</v>
      </c>
      <c r="C972" s="6">
        <v>46260</v>
      </c>
      <c r="D972" s="2" t="str">
        <f t="shared" si="30"/>
        <v>August</v>
      </c>
      <c r="E972" t="s">
        <v>1227</v>
      </c>
      <c r="F972">
        <v>41</v>
      </c>
      <c r="G972" t="str">
        <f t="shared" si="31"/>
        <v>Adult</v>
      </c>
      <c r="H972" t="s">
        <v>22</v>
      </c>
      <c r="I972" t="s">
        <v>80</v>
      </c>
      <c r="J972" t="s">
        <v>32</v>
      </c>
      <c r="K972" t="s">
        <v>44</v>
      </c>
      <c r="L972" t="s">
        <v>178</v>
      </c>
      <c r="M972">
        <v>2</v>
      </c>
      <c r="N972">
        <v>20469</v>
      </c>
      <c r="O972">
        <v>40938</v>
      </c>
      <c r="P972" t="s">
        <v>27</v>
      </c>
      <c r="Q972">
        <v>8</v>
      </c>
      <c r="R972">
        <v>5</v>
      </c>
      <c r="S972" t="s">
        <v>28</v>
      </c>
    </row>
    <row r="973" spans="1:19" x14ac:dyDescent="0.3">
      <c r="A973">
        <v>970</v>
      </c>
      <c r="B973" t="s">
        <v>1413</v>
      </c>
      <c r="C973" s="6">
        <v>46261</v>
      </c>
      <c r="D973" s="2" t="str">
        <f t="shared" si="30"/>
        <v>August</v>
      </c>
      <c r="E973" t="s">
        <v>416</v>
      </c>
      <c r="F973">
        <v>28</v>
      </c>
      <c r="G973" t="str">
        <f t="shared" si="31"/>
        <v>Teenager</v>
      </c>
      <c r="H973" t="s">
        <v>22</v>
      </c>
      <c r="I973" t="s">
        <v>23</v>
      </c>
      <c r="J973" t="s">
        <v>24</v>
      </c>
      <c r="K973" t="s">
        <v>25</v>
      </c>
      <c r="L973" t="s">
        <v>94</v>
      </c>
      <c r="M973">
        <v>1</v>
      </c>
      <c r="N973">
        <v>18055</v>
      </c>
      <c r="O973">
        <v>18055</v>
      </c>
      <c r="P973" t="s">
        <v>99</v>
      </c>
      <c r="Q973">
        <v>7</v>
      </c>
      <c r="R973">
        <v>4</v>
      </c>
      <c r="S973" t="s">
        <v>46</v>
      </c>
    </row>
    <row r="974" spans="1:19" x14ac:dyDescent="0.3">
      <c r="A974">
        <v>971</v>
      </c>
      <c r="B974" t="s">
        <v>1414</v>
      </c>
      <c r="C974" s="6">
        <v>46262</v>
      </c>
      <c r="D974" s="2" t="str">
        <f t="shared" si="30"/>
        <v>August</v>
      </c>
      <c r="E974" t="s">
        <v>148</v>
      </c>
      <c r="F974">
        <v>47</v>
      </c>
      <c r="G974" t="str">
        <f t="shared" si="31"/>
        <v>Adult</v>
      </c>
      <c r="H974" t="s">
        <v>22</v>
      </c>
      <c r="I974" t="s">
        <v>70</v>
      </c>
      <c r="J974" t="s">
        <v>50</v>
      </c>
      <c r="K974" t="s">
        <v>38</v>
      </c>
      <c r="L974" t="s">
        <v>96</v>
      </c>
      <c r="M974">
        <v>4</v>
      </c>
      <c r="N974">
        <v>11476</v>
      </c>
      <c r="O974">
        <v>45904</v>
      </c>
      <c r="P974" t="s">
        <v>53</v>
      </c>
      <c r="Q974">
        <v>5</v>
      </c>
      <c r="R974">
        <v>1</v>
      </c>
      <c r="S974" t="s">
        <v>46</v>
      </c>
    </row>
    <row r="975" spans="1:19" x14ac:dyDescent="0.3">
      <c r="A975">
        <v>972</v>
      </c>
      <c r="B975" t="s">
        <v>1415</v>
      </c>
      <c r="C975" s="6">
        <v>46263</v>
      </c>
      <c r="D975" s="2" t="str">
        <f t="shared" si="30"/>
        <v>August</v>
      </c>
      <c r="E975" t="s">
        <v>763</v>
      </c>
      <c r="F975">
        <v>36</v>
      </c>
      <c r="G975" t="str">
        <f t="shared" si="31"/>
        <v>Adult</v>
      </c>
      <c r="H975" t="s">
        <v>22</v>
      </c>
      <c r="I975" t="s">
        <v>37</v>
      </c>
      <c r="J975" t="s">
        <v>32</v>
      </c>
      <c r="K975" t="s">
        <v>51</v>
      </c>
      <c r="L975" t="s">
        <v>60</v>
      </c>
      <c r="M975">
        <v>4</v>
      </c>
      <c r="N975">
        <v>351</v>
      </c>
      <c r="O975">
        <v>1404</v>
      </c>
      <c r="P975" t="s">
        <v>99</v>
      </c>
      <c r="Q975">
        <v>1</v>
      </c>
      <c r="R975">
        <v>2</v>
      </c>
      <c r="S975" t="s">
        <v>28</v>
      </c>
    </row>
    <row r="976" spans="1:19" x14ac:dyDescent="0.3">
      <c r="A976">
        <v>973</v>
      </c>
      <c r="B976" t="s">
        <v>1416</v>
      </c>
      <c r="C976" s="6">
        <v>46264</v>
      </c>
      <c r="D976" s="2" t="str">
        <f t="shared" si="30"/>
        <v>August</v>
      </c>
      <c r="E976" t="s">
        <v>545</v>
      </c>
      <c r="F976">
        <v>57</v>
      </c>
      <c r="G976" t="str">
        <f t="shared" si="31"/>
        <v>Senior</v>
      </c>
      <c r="H976" t="s">
        <v>22</v>
      </c>
      <c r="I976" t="s">
        <v>70</v>
      </c>
      <c r="J976" t="s">
        <v>65</v>
      </c>
      <c r="K976" t="s">
        <v>33</v>
      </c>
      <c r="L976" t="s">
        <v>89</v>
      </c>
      <c r="M976">
        <v>10</v>
      </c>
      <c r="N976">
        <v>4711</v>
      </c>
      <c r="O976">
        <v>47110</v>
      </c>
      <c r="P976" t="s">
        <v>116</v>
      </c>
      <c r="Q976">
        <v>7</v>
      </c>
      <c r="R976">
        <v>4</v>
      </c>
      <c r="S976" t="s">
        <v>46</v>
      </c>
    </row>
    <row r="977" spans="1:19" x14ac:dyDescent="0.3">
      <c r="A977">
        <v>974</v>
      </c>
      <c r="B977" t="s">
        <v>1417</v>
      </c>
      <c r="C977" s="6">
        <v>46265</v>
      </c>
      <c r="D977" s="2" t="str">
        <f t="shared" si="30"/>
        <v>August</v>
      </c>
      <c r="E977" t="s">
        <v>250</v>
      </c>
      <c r="F977">
        <v>18</v>
      </c>
      <c r="G977" t="str">
        <f t="shared" si="31"/>
        <v>Teenager</v>
      </c>
      <c r="H977" t="s">
        <v>22</v>
      </c>
      <c r="I977" t="s">
        <v>64</v>
      </c>
      <c r="J977" t="s">
        <v>24</v>
      </c>
      <c r="K977" t="s">
        <v>38</v>
      </c>
      <c r="L977" t="s">
        <v>96</v>
      </c>
      <c r="M977">
        <v>6</v>
      </c>
      <c r="N977">
        <v>34210</v>
      </c>
      <c r="O977">
        <v>205260</v>
      </c>
      <c r="P977" t="s">
        <v>61</v>
      </c>
      <c r="Q977">
        <v>6</v>
      </c>
      <c r="R977">
        <v>3</v>
      </c>
      <c r="S977" t="s">
        <v>46</v>
      </c>
    </row>
    <row r="978" spans="1:19" x14ac:dyDescent="0.3">
      <c r="A978">
        <v>975</v>
      </c>
      <c r="B978" t="s">
        <v>1418</v>
      </c>
      <c r="C978" s="6">
        <v>46266</v>
      </c>
      <c r="D978" s="2" t="str">
        <f t="shared" si="30"/>
        <v>September</v>
      </c>
      <c r="E978" t="s">
        <v>442</v>
      </c>
      <c r="F978">
        <v>40</v>
      </c>
      <c r="G978" t="str">
        <f t="shared" si="31"/>
        <v>Adult</v>
      </c>
      <c r="H978" t="s">
        <v>22</v>
      </c>
      <c r="I978" t="s">
        <v>37</v>
      </c>
      <c r="J978" t="s">
        <v>24</v>
      </c>
      <c r="K978" t="s">
        <v>33</v>
      </c>
      <c r="L978" t="s">
        <v>34</v>
      </c>
      <c r="M978">
        <v>8</v>
      </c>
      <c r="N978">
        <v>44824</v>
      </c>
      <c r="O978">
        <v>358592</v>
      </c>
      <c r="P978" t="s">
        <v>116</v>
      </c>
      <c r="Q978">
        <v>9</v>
      </c>
      <c r="R978">
        <v>3</v>
      </c>
      <c r="S978" t="s">
        <v>46</v>
      </c>
    </row>
    <row r="979" spans="1:19" x14ac:dyDescent="0.3">
      <c r="A979">
        <v>976</v>
      </c>
      <c r="B979" t="s">
        <v>1419</v>
      </c>
      <c r="C979" s="6">
        <v>46267</v>
      </c>
      <c r="D979" s="2" t="str">
        <f t="shared" si="30"/>
        <v>September</v>
      </c>
      <c r="E979" t="s">
        <v>710</v>
      </c>
      <c r="F979">
        <v>38</v>
      </c>
      <c r="G979" t="str">
        <f t="shared" si="31"/>
        <v>Adult</v>
      </c>
      <c r="H979" t="s">
        <v>42</v>
      </c>
      <c r="I979" t="s">
        <v>37</v>
      </c>
      <c r="J979" t="s">
        <v>50</v>
      </c>
      <c r="K979" t="s">
        <v>33</v>
      </c>
      <c r="L979" t="s">
        <v>89</v>
      </c>
      <c r="M979">
        <v>3</v>
      </c>
      <c r="N979">
        <v>37949</v>
      </c>
      <c r="O979">
        <v>113847</v>
      </c>
      <c r="P979" t="s">
        <v>27</v>
      </c>
      <c r="Q979">
        <v>4</v>
      </c>
      <c r="R979">
        <v>2</v>
      </c>
      <c r="S979" t="s">
        <v>28</v>
      </c>
    </row>
    <row r="980" spans="1:19" x14ac:dyDescent="0.3">
      <c r="A980">
        <v>977</v>
      </c>
      <c r="B980" t="s">
        <v>1420</v>
      </c>
      <c r="C980" s="6">
        <v>46268</v>
      </c>
      <c r="D980" s="2" t="str">
        <f t="shared" si="30"/>
        <v>September</v>
      </c>
      <c r="E980" t="s">
        <v>278</v>
      </c>
      <c r="F980">
        <v>50</v>
      </c>
      <c r="G980" t="str">
        <f t="shared" si="31"/>
        <v>Senior</v>
      </c>
      <c r="H980" t="s">
        <v>42</v>
      </c>
      <c r="I980" t="s">
        <v>120</v>
      </c>
      <c r="J980" t="s">
        <v>65</v>
      </c>
      <c r="K980" t="s">
        <v>25</v>
      </c>
      <c r="L980" t="s">
        <v>94</v>
      </c>
      <c r="M980">
        <v>8</v>
      </c>
      <c r="N980">
        <v>47520</v>
      </c>
      <c r="O980">
        <v>380160</v>
      </c>
      <c r="P980" t="s">
        <v>99</v>
      </c>
      <c r="Q980">
        <v>1</v>
      </c>
      <c r="R980">
        <v>1</v>
      </c>
      <c r="S980" t="s">
        <v>28</v>
      </c>
    </row>
    <row r="981" spans="1:19" x14ac:dyDescent="0.3">
      <c r="A981">
        <v>978</v>
      </c>
      <c r="B981" t="s">
        <v>1421</v>
      </c>
      <c r="C981" s="6">
        <v>46269</v>
      </c>
      <c r="D981" s="2" t="str">
        <f t="shared" si="30"/>
        <v>September</v>
      </c>
      <c r="E981" t="s">
        <v>1375</v>
      </c>
      <c r="F981">
        <v>52</v>
      </c>
      <c r="G981" t="str">
        <f t="shared" si="31"/>
        <v>Senior</v>
      </c>
      <c r="H981" t="s">
        <v>42</v>
      </c>
      <c r="I981" t="s">
        <v>31</v>
      </c>
      <c r="J981" t="s">
        <v>32</v>
      </c>
      <c r="K981" t="s">
        <v>51</v>
      </c>
      <c r="L981" t="s">
        <v>60</v>
      </c>
      <c r="M981">
        <v>2</v>
      </c>
      <c r="N981">
        <v>1443</v>
      </c>
      <c r="O981">
        <v>2886</v>
      </c>
      <c r="P981" t="s">
        <v>116</v>
      </c>
      <c r="Q981">
        <v>10</v>
      </c>
      <c r="R981">
        <v>2</v>
      </c>
      <c r="S981" t="s">
        <v>46</v>
      </c>
    </row>
    <row r="982" spans="1:19" x14ac:dyDescent="0.3">
      <c r="A982">
        <v>979</v>
      </c>
      <c r="B982" t="s">
        <v>1422</v>
      </c>
      <c r="C982" s="6">
        <v>46270</v>
      </c>
      <c r="D982" s="2" t="str">
        <f t="shared" si="30"/>
        <v>September</v>
      </c>
      <c r="E982" t="s">
        <v>600</v>
      </c>
      <c r="F982">
        <v>28</v>
      </c>
      <c r="G982" t="str">
        <f t="shared" si="31"/>
        <v>Teenager</v>
      </c>
      <c r="H982" t="s">
        <v>42</v>
      </c>
      <c r="I982" t="s">
        <v>43</v>
      </c>
      <c r="J982" t="s">
        <v>24</v>
      </c>
      <c r="K982" t="s">
        <v>33</v>
      </c>
      <c r="L982" t="s">
        <v>34</v>
      </c>
      <c r="M982">
        <v>4</v>
      </c>
      <c r="N982">
        <v>30366</v>
      </c>
      <c r="O982">
        <v>121464</v>
      </c>
      <c r="P982" t="s">
        <v>53</v>
      </c>
      <c r="Q982">
        <v>5</v>
      </c>
      <c r="R982">
        <v>2</v>
      </c>
      <c r="S982" t="s">
        <v>46</v>
      </c>
    </row>
    <row r="983" spans="1:19" x14ac:dyDescent="0.3">
      <c r="A983">
        <v>980</v>
      </c>
      <c r="B983" t="s">
        <v>1423</v>
      </c>
      <c r="C983" s="6">
        <v>46271</v>
      </c>
      <c r="D983" s="2" t="str">
        <f t="shared" si="30"/>
        <v>September</v>
      </c>
      <c r="E983" t="s">
        <v>166</v>
      </c>
      <c r="F983">
        <v>53</v>
      </c>
      <c r="G983" t="str">
        <f t="shared" si="31"/>
        <v>Senior</v>
      </c>
      <c r="H983" t="s">
        <v>22</v>
      </c>
      <c r="I983" t="s">
        <v>49</v>
      </c>
      <c r="J983" t="s">
        <v>24</v>
      </c>
      <c r="K983" t="s">
        <v>44</v>
      </c>
      <c r="L983" t="s">
        <v>224</v>
      </c>
      <c r="M983">
        <v>9</v>
      </c>
      <c r="N983">
        <v>2864</v>
      </c>
      <c r="O983">
        <v>25776</v>
      </c>
      <c r="P983" t="s">
        <v>99</v>
      </c>
      <c r="Q983">
        <v>5</v>
      </c>
      <c r="R983">
        <v>1</v>
      </c>
      <c r="S983" t="s">
        <v>46</v>
      </c>
    </row>
    <row r="984" spans="1:19" x14ac:dyDescent="0.3">
      <c r="A984">
        <v>981</v>
      </c>
      <c r="B984" t="s">
        <v>1424</v>
      </c>
      <c r="C984" s="6">
        <v>46272</v>
      </c>
      <c r="D984" s="2" t="str">
        <f t="shared" si="30"/>
        <v>September</v>
      </c>
      <c r="E984" t="s">
        <v>373</v>
      </c>
      <c r="F984">
        <v>49</v>
      </c>
      <c r="G984" t="str">
        <f t="shared" si="31"/>
        <v>Adult</v>
      </c>
      <c r="H984" t="s">
        <v>22</v>
      </c>
      <c r="I984" t="s">
        <v>31</v>
      </c>
      <c r="J984" t="s">
        <v>65</v>
      </c>
      <c r="K984" t="s">
        <v>33</v>
      </c>
      <c r="L984" t="s">
        <v>160</v>
      </c>
      <c r="M984">
        <v>6</v>
      </c>
      <c r="N984">
        <v>30264</v>
      </c>
      <c r="O984">
        <v>181584</v>
      </c>
      <c r="P984" t="s">
        <v>99</v>
      </c>
      <c r="Q984">
        <v>6</v>
      </c>
      <c r="R984">
        <v>3</v>
      </c>
      <c r="S984" t="s">
        <v>28</v>
      </c>
    </row>
    <row r="985" spans="1:19" x14ac:dyDescent="0.3">
      <c r="A985">
        <v>982</v>
      </c>
      <c r="B985" t="s">
        <v>1425</v>
      </c>
      <c r="C985" s="6">
        <v>46273</v>
      </c>
      <c r="D985" s="2" t="str">
        <f t="shared" si="30"/>
        <v>September</v>
      </c>
      <c r="E985" t="s">
        <v>1352</v>
      </c>
      <c r="F985">
        <v>39</v>
      </c>
      <c r="G985" t="str">
        <f t="shared" si="31"/>
        <v>Adult</v>
      </c>
      <c r="H985" t="s">
        <v>22</v>
      </c>
      <c r="I985" t="s">
        <v>102</v>
      </c>
      <c r="J985" t="s">
        <v>32</v>
      </c>
      <c r="K985" t="s">
        <v>38</v>
      </c>
      <c r="L985" t="s">
        <v>39</v>
      </c>
      <c r="M985">
        <v>1</v>
      </c>
      <c r="N985">
        <v>49687</v>
      </c>
      <c r="O985">
        <v>49687</v>
      </c>
      <c r="P985" t="s">
        <v>61</v>
      </c>
      <c r="Q985">
        <v>2</v>
      </c>
      <c r="R985">
        <v>5</v>
      </c>
      <c r="S985" t="s">
        <v>28</v>
      </c>
    </row>
    <row r="986" spans="1:19" x14ac:dyDescent="0.3">
      <c r="A986">
        <v>983</v>
      </c>
      <c r="B986" t="s">
        <v>1426</v>
      </c>
      <c r="C986" s="6">
        <v>46274</v>
      </c>
      <c r="D986" s="2" t="str">
        <f t="shared" si="30"/>
        <v>September</v>
      </c>
      <c r="E986" t="s">
        <v>1427</v>
      </c>
      <c r="F986">
        <v>52</v>
      </c>
      <c r="G986" t="str">
        <f t="shared" si="31"/>
        <v>Senior</v>
      </c>
      <c r="H986" t="s">
        <v>42</v>
      </c>
      <c r="I986" t="s">
        <v>43</v>
      </c>
      <c r="J986" t="s">
        <v>24</v>
      </c>
      <c r="K986" t="s">
        <v>44</v>
      </c>
      <c r="L986" t="s">
        <v>224</v>
      </c>
      <c r="M986">
        <v>10</v>
      </c>
      <c r="N986">
        <v>23900</v>
      </c>
      <c r="O986">
        <v>239000</v>
      </c>
      <c r="P986" t="s">
        <v>61</v>
      </c>
      <c r="Q986">
        <v>4</v>
      </c>
      <c r="R986">
        <v>1</v>
      </c>
      <c r="S986" t="s">
        <v>46</v>
      </c>
    </row>
    <row r="987" spans="1:19" x14ac:dyDescent="0.3">
      <c r="A987">
        <v>984</v>
      </c>
      <c r="B987" t="s">
        <v>1428</v>
      </c>
      <c r="C987" s="6">
        <v>46275</v>
      </c>
      <c r="D987" s="2" t="str">
        <f t="shared" si="30"/>
        <v>September</v>
      </c>
      <c r="E987" t="s">
        <v>557</v>
      </c>
      <c r="F987">
        <v>60</v>
      </c>
      <c r="G987" t="str">
        <f t="shared" si="31"/>
        <v>Senior</v>
      </c>
      <c r="H987" t="s">
        <v>22</v>
      </c>
      <c r="I987" t="s">
        <v>70</v>
      </c>
      <c r="J987" t="s">
        <v>24</v>
      </c>
      <c r="K987" t="s">
        <v>33</v>
      </c>
      <c r="L987" t="s">
        <v>160</v>
      </c>
      <c r="M987">
        <v>5</v>
      </c>
      <c r="N987">
        <v>27631</v>
      </c>
      <c r="O987">
        <v>138155</v>
      </c>
      <c r="P987" t="s">
        <v>27</v>
      </c>
      <c r="Q987">
        <v>7</v>
      </c>
      <c r="R987">
        <v>1</v>
      </c>
      <c r="S987" t="s">
        <v>46</v>
      </c>
    </row>
    <row r="988" spans="1:19" x14ac:dyDescent="0.3">
      <c r="A988">
        <v>985</v>
      </c>
      <c r="B988" t="s">
        <v>1429</v>
      </c>
      <c r="C988" s="6">
        <v>46276</v>
      </c>
      <c r="D988" s="2" t="str">
        <f t="shared" si="30"/>
        <v>September</v>
      </c>
      <c r="E988" t="s">
        <v>362</v>
      </c>
      <c r="F988">
        <v>30</v>
      </c>
      <c r="G988" t="str">
        <f t="shared" si="31"/>
        <v>Adult</v>
      </c>
      <c r="H988" t="s">
        <v>42</v>
      </c>
      <c r="I988" t="s">
        <v>37</v>
      </c>
      <c r="J988" t="s">
        <v>24</v>
      </c>
      <c r="K988" t="s">
        <v>25</v>
      </c>
      <c r="L988" t="s">
        <v>189</v>
      </c>
      <c r="M988">
        <v>2</v>
      </c>
      <c r="N988">
        <v>34267</v>
      </c>
      <c r="O988">
        <v>68534</v>
      </c>
      <c r="P988" t="s">
        <v>99</v>
      </c>
      <c r="Q988">
        <v>4</v>
      </c>
      <c r="R988">
        <v>2</v>
      </c>
      <c r="S988" t="s">
        <v>46</v>
      </c>
    </row>
    <row r="989" spans="1:19" x14ac:dyDescent="0.3">
      <c r="A989">
        <v>986</v>
      </c>
      <c r="B989" t="s">
        <v>1430</v>
      </c>
      <c r="C989" s="6">
        <v>46277</v>
      </c>
      <c r="D989" s="2" t="str">
        <f t="shared" si="30"/>
        <v>September</v>
      </c>
      <c r="E989" t="s">
        <v>836</v>
      </c>
      <c r="F989">
        <v>43</v>
      </c>
      <c r="G989" t="str">
        <f t="shared" si="31"/>
        <v>Adult</v>
      </c>
      <c r="H989" t="s">
        <v>22</v>
      </c>
      <c r="I989" t="s">
        <v>64</v>
      </c>
      <c r="J989" t="s">
        <v>65</v>
      </c>
      <c r="K989" t="s">
        <v>33</v>
      </c>
      <c r="L989" t="s">
        <v>34</v>
      </c>
      <c r="M989">
        <v>6</v>
      </c>
      <c r="N989">
        <v>41898</v>
      </c>
      <c r="O989">
        <v>251388</v>
      </c>
      <c r="P989" t="s">
        <v>99</v>
      </c>
      <c r="Q989">
        <v>5</v>
      </c>
      <c r="R989">
        <v>4</v>
      </c>
      <c r="S989" t="s">
        <v>28</v>
      </c>
    </row>
    <row r="990" spans="1:19" x14ac:dyDescent="0.3">
      <c r="A990">
        <v>987</v>
      </c>
      <c r="B990" t="s">
        <v>1431</v>
      </c>
      <c r="C990" s="6">
        <v>46278</v>
      </c>
      <c r="D990" s="2" t="str">
        <f t="shared" si="30"/>
        <v>September</v>
      </c>
      <c r="E990" t="s">
        <v>484</v>
      </c>
      <c r="F990">
        <v>47</v>
      </c>
      <c r="G990" t="str">
        <f t="shared" si="31"/>
        <v>Adult</v>
      </c>
      <c r="H990" t="s">
        <v>42</v>
      </c>
      <c r="I990" t="s">
        <v>49</v>
      </c>
      <c r="J990" t="s">
        <v>65</v>
      </c>
      <c r="K990" t="s">
        <v>51</v>
      </c>
      <c r="L990" t="s">
        <v>74</v>
      </c>
      <c r="M990">
        <v>7</v>
      </c>
      <c r="N990">
        <v>1821</v>
      </c>
      <c r="O990">
        <v>12747</v>
      </c>
      <c r="P990" t="s">
        <v>61</v>
      </c>
      <c r="Q990">
        <v>1</v>
      </c>
      <c r="R990">
        <v>5</v>
      </c>
      <c r="S990" t="s">
        <v>28</v>
      </c>
    </row>
    <row r="991" spans="1:19" x14ac:dyDescent="0.3">
      <c r="A991">
        <v>988</v>
      </c>
      <c r="B991" t="s">
        <v>1432</v>
      </c>
      <c r="C991" s="6">
        <v>46279</v>
      </c>
      <c r="D991" s="2" t="str">
        <f t="shared" si="30"/>
        <v>September</v>
      </c>
      <c r="E991" t="s">
        <v>335</v>
      </c>
      <c r="F991">
        <v>22</v>
      </c>
      <c r="G991" t="str">
        <f t="shared" si="31"/>
        <v>Teenager</v>
      </c>
      <c r="H991" t="s">
        <v>42</v>
      </c>
      <c r="I991" t="s">
        <v>80</v>
      </c>
      <c r="J991" t="s">
        <v>32</v>
      </c>
      <c r="K991" t="s">
        <v>38</v>
      </c>
      <c r="L991" t="s">
        <v>135</v>
      </c>
      <c r="M991">
        <v>2</v>
      </c>
      <c r="N991">
        <v>2998</v>
      </c>
      <c r="O991">
        <v>5996</v>
      </c>
      <c r="P991" t="s">
        <v>27</v>
      </c>
      <c r="Q991">
        <v>1</v>
      </c>
      <c r="R991">
        <v>2</v>
      </c>
      <c r="S991" t="s">
        <v>28</v>
      </c>
    </row>
    <row r="992" spans="1:19" x14ac:dyDescent="0.3">
      <c r="A992">
        <v>989</v>
      </c>
      <c r="B992" t="s">
        <v>1433</v>
      </c>
      <c r="C992" s="6">
        <v>46280</v>
      </c>
      <c r="D992" s="2" t="str">
        <f t="shared" si="30"/>
        <v>September</v>
      </c>
      <c r="E992" t="s">
        <v>791</v>
      </c>
      <c r="F992">
        <v>33</v>
      </c>
      <c r="G992" t="str">
        <f t="shared" si="31"/>
        <v>Adult</v>
      </c>
      <c r="H992" t="s">
        <v>22</v>
      </c>
      <c r="I992" t="s">
        <v>43</v>
      </c>
      <c r="J992" t="s">
        <v>32</v>
      </c>
      <c r="K992" t="s">
        <v>25</v>
      </c>
      <c r="L992" t="s">
        <v>94</v>
      </c>
      <c r="M992">
        <v>8</v>
      </c>
      <c r="N992">
        <v>838</v>
      </c>
      <c r="O992">
        <v>6704</v>
      </c>
      <c r="P992" t="s">
        <v>116</v>
      </c>
      <c r="Q992">
        <v>7</v>
      </c>
      <c r="R992">
        <v>4</v>
      </c>
      <c r="S992" t="s">
        <v>46</v>
      </c>
    </row>
    <row r="993" spans="1:19" x14ac:dyDescent="0.3">
      <c r="A993">
        <v>990</v>
      </c>
      <c r="B993" t="s">
        <v>1434</v>
      </c>
      <c r="C993" s="6">
        <v>46281</v>
      </c>
      <c r="D993" s="2" t="str">
        <f t="shared" si="30"/>
        <v>September</v>
      </c>
      <c r="E993" t="s">
        <v>720</v>
      </c>
      <c r="F993">
        <v>58</v>
      </c>
      <c r="G993" t="str">
        <f t="shared" si="31"/>
        <v>Senior</v>
      </c>
      <c r="H993" t="s">
        <v>42</v>
      </c>
      <c r="I993" t="s">
        <v>80</v>
      </c>
      <c r="J993" t="s">
        <v>65</v>
      </c>
      <c r="K993" t="s">
        <v>51</v>
      </c>
      <c r="L993" t="s">
        <v>86</v>
      </c>
      <c r="M993">
        <v>6</v>
      </c>
      <c r="N993">
        <v>1197</v>
      </c>
      <c r="O993">
        <v>7182</v>
      </c>
      <c r="P993" t="s">
        <v>61</v>
      </c>
      <c r="Q993">
        <v>5</v>
      </c>
      <c r="R993">
        <v>3</v>
      </c>
      <c r="S993" t="s">
        <v>46</v>
      </c>
    </row>
    <row r="994" spans="1:19" x14ac:dyDescent="0.3">
      <c r="A994">
        <v>991</v>
      </c>
      <c r="B994" t="s">
        <v>1435</v>
      </c>
      <c r="C994" s="6">
        <v>46282</v>
      </c>
      <c r="D994" s="2" t="str">
        <f t="shared" si="30"/>
        <v>September</v>
      </c>
      <c r="E994" t="s">
        <v>496</v>
      </c>
      <c r="F994">
        <v>32</v>
      </c>
      <c r="G994" t="str">
        <f t="shared" si="31"/>
        <v>Adult</v>
      </c>
      <c r="H994" t="s">
        <v>42</v>
      </c>
      <c r="I994" t="s">
        <v>80</v>
      </c>
      <c r="J994" t="s">
        <v>65</v>
      </c>
      <c r="K994" t="s">
        <v>38</v>
      </c>
      <c r="L994" t="s">
        <v>135</v>
      </c>
      <c r="M994">
        <v>8</v>
      </c>
      <c r="N994">
        <v>46340</v>
      </c>
      <c r="O994">
        <v>370720</v>
      </c>
      <c r="P994" t="s">
        <v>61</v>
      </c>
      <c r="Q994">
        <v>4</v>
      </c>
      <c r="R994">
        <v>1</v>
      </c>
      <c r="S994" t="s">
        <v>46</v>
      </c>
    </row>
    <row r="995" spans="1:19" x14ac:dyDescent="0.3">
      <c r="A995">
        <v>992</v>
      </c>
      <c r="B995" t="s">
        <v>1436</v>
      </c>
      <c r="C995" s="6">
        <v>46283</v>
      </c>
      <c r="D995" s="2" t="str">
        <f t="shared" si="30"/>
        <v>September</v>
      </c>
      <c r="E995" t="s">
        <v>1227</v>
      </c>
      <c r="F995">
        <v>24</v>
      </c>
      <c r="G995" t="str">
        <f t="shared" si="31"/>
        <v>Teenager</v>
      </c>
      <c r="H995" t="s">
        <v>42</v>
      </c>
      <c r="I995" t="s">
        <v>43</v>
      </c>
      <c r="J995" t="s">
        <v>50</v>
      </c>
      <c r="K995" t="s">
        <v>51</v>
      </c>
      <c r="L995" t="s">
        <v>52</v>
      </c>
      <c r="M995">
        <v>3</v>
      </c>
      <c r="N995">
        <v>411</v>
      </c>
      <c r="O995">
        <v>1233</v>
      </c>
      <c r="P995" t="s">
        <v>53</v>
      </c>
      <c r="Q995">
        <v>3</v>
      </c>
      <c r="R995">
        <v>2</v>
      </c>
      <c r="S995" t="s">
        <v>46</v>
      </c>
    </row>
    <row r="996" spans="1:19" x14ac:dyDescent="0.3">
      <c r="A996">
        <v>993</v>
      </c>
      <c r="B996" t="s">
        <v>1437</v>
      </c>
      <c r="C996" s="6">
        <v>46284</v>
      </c>
      <c r="D996" s="2" t="str">
        <f t="shared" si="30"/>
        <v>September</v>
      </c>
      <c r="E996" t="s">
        <v>1062</v>
      </c>
      <c r="F996">
        <v>54</v>
      </c>
      <c r="G996" t="str">
        <f t="shared" si="31"/>
        <v>Senior</v>
      </c>
      <c r="H996" t="s">
        <v>22</v>
      </c>
      <c r="I996" t="s">
        <v>23</v>
      </c>
      <c r="J996" t="s">
        <v>32</v>
      </c>
      <c r="K996" t="s">
        <v>38</v>
      </c>
      <c r="L996" t="s">
        <v>135</v>
      </c>
      <c r="M996">
        <v>3</v>
      </c>
      <c r="N996">
        <v>12119</v>
      </c>
      <c r="O996">
        <v>36357</v>
      </c>
      <c r="P996" t="s">
        <v>27</v>
      </c>
      <c r="Q996">
        <v>6</v>
      </c>
      <c r="R996">
        <v>3</v>
      </c>
      <c r="S996" t="s">
        <v>28</v>
      </c>
    </row>
    <row r="997" spans="1:19" x14ac:dyDescent="0.3">
      <c r="A997">
        <v>994</v>
      </c>
      <c r="B997" t="s">
        <v>1438</v>
      </c>
      <c r="C997" s="6">
        <v>46285</v>
      </c>
      <c r="D997" s="2" t="str">
        <f t="shared" si="30"/>
        <v>September</v>
      </c>
      <c r="E997" t="s">
        <v>1193</v>
      </c>
      <c r="F997">
        <v>22</v>
      </c>
      <c r="G997" t="str">
        <f t="shared" si="31"/>
        <v>Teenager</v>
      </c>
      <c r="H997" t="s">
        <v>42</v>
      </c>
      <c r="I997" t="s">
        <v>31</v>
      </c>
      <c r="J997" t="s">
        <v>50</v>
      </c>
      <c r="K997" t="s">
        <v>38</v>
      </c>
      <c r="L997" t="s">
        <v>39</v>
      </c>
      <c r="M997">
        <v>9</v>
      </c>
      <c r="N997">
        <v>39840</v>
      </c>
      <c r="O997">
        <v>358560</v>
      </c>
      <c r="P997" t="s">
        <v>116</v>
      </c>
      <c r="Q997">
        <v>2</v>
      </c>
      <c r="R997">
        <v>5</v>
      </c>
      <c r="S997" t="s">
        <v>28</v>
      </c>
    </row>
    <row r="998" spans="1:19" x14ac:dyDescent="0.3">
      <c r="A998">
        <v>995</v>
      </c>
      <c r="B998" t="s">
        <v>1439</v>
      </c>
      <c r="C998" s="6">
        <v>46286</v>
      </c>
      <c r="D998" s="2" t="str">
        <f t="shared" si="30"/>
        <v>September</v>
      </c>
      <c r="E998" t="s">
        <v>1151</v>
      </c>
      <c r="F998">
        <v>43</v>
      </c>
      <c r="G998" t="str">
        <f t="shared" si="31"/>
        <v>Adult</v>
      </c>
      <c r="H998" t="s">
        <v>42</v>
      </c>
      <c r="I998" t="s">
        <v>49</v>
      </c>
      <c r="J998" t="s">
        <v>50</v>
      </c>
      <c r="K998" t="s">
        <v>44</v>
      </c>
      <c r="L998" t="s">
        <v>178</v>
      </c>
      <c r="M998">
        <v>4</v>
      </c>
      <c r="N998">
        <v>40080</v>
      </c>
      <c r="O998">
        <v>160320</v>
      </c>
      <c r="P998" t="s">
        <v>116</v>
      </c>
      <c r="Q998">
        <v>4</v>
      </c>
      <c r="R998">
        <v>3</v>
      </c>
      <c r="S998" t="s">
        <v>28</v>
      </c>
    </row>
    <row r="999" spans="1:19" x14ac:dyDescent="0.3">
      <c r="A999">
        <v>996</v>
      </c>
      <c r="B999" t="s">
        <v>1440</v>
      </c>
      <c r="C999" s="6">
        <v>46287</v>
      </c>
      <c r="D999" s="2" t="str">
        <f t="shared" si="30"/>
        <v>September</v>
      </c>
      <c r="E999" t="s">
        <v>203</v>
      </c>
      <c r="F999">
        <v>19</v>
      </c>
      <c r="G999" t="str">
        <f t="shared" si="31"/>
        <v>Teenager</v>
      </c>
      <c r="H999" t="s">
        <v>22</v>
      </c>
      <c r="I999" t="s">
        <v>43</v>
      </c>
      <c r="J999" t="s">
        <v>32</v>
      </c>
      <c r="K999" t="s">
        <v>51</v>
      </c>
      <c r="L999" t="s">
        <v>60</v>
      </c>
      <c r="M999">
        <v>3</v>
      </c>
      <c r="N999">
        <v>613</v>
      </c>
      <c r="O999">
        <v>1839</v>
      </c>
      <c r="P999" t="s">
        <v>53</v>
      </c>
      <c r="Q999">
        <v>8</v>
      </c>
      <c r="R999">
        <v>2</v>
      </c>
      <c r="S999" t="s">
        <v>46</v>
      </c>
    </row>
    <row r="1000" spans="1:19" x14ac:dyDescent="0.3">
      <c r="A1000">
        <v>997</v>
      </c>
      <c r="B1000" t="s">
        <v>1441</v>
      </c>
      <c r="C1000" s="6">
        <v>46288</v>
      </c>
      <c r="D1000" s="2" t="str">
        <f t="shared" si="30"/>
        <v>September</v>
      </c>
      <c r="E1000" t="s">
        <v>804</v>
      </c>
      <c r="F1000">
        <v>34</v>
      </c>
      <c r="G1000" t="str">
        <f t="shared" si="31"/>
        <v>Adult</v>
      </c>
      <c r="H1000" t="s">
        <v>42</v>
      </c>
      <c r="I1000" t="s">
        <v>43</v>
      </c>
      <c r="J1000" t="s">
        <v>32</v>
      </c>
      <c r="K1000" t="s">
        <v>38</v>
      </c>
      <c r="L1000" t="s">
        <v>96</v>
      </c>
      <c r="M1000">
        <v>4</v>
      </c>
      <c r="N1000">
        <v>2015</v>
      </c>
      <c r="O1000">
        <v>8060</v>
      </c>
      <c r="P1000" t="s">
        <v>116</v>
      </c>
      <c r="Q1000">
        <v>5</v>
      </c>
      <c r="R1000">
        <v>4</v>
      </c>
      <c r="S1000" t="s">
        <v>28</v>
      </c>
    </row>
    <row r="1001" spans="1:19" x14ac:dyDescent="0.3">
      <c r="A1001">
        <v>998</v>
      </c>
      <c r="B1001" t="s">
        <v>1442</v>
      </c>
      <c r="C1001" s="6">
        <v>46289</v>
      </c>
      <c r="D1001" s="2" t="str">
        <f t="shared" si="30"/>
        <v>September</v>
      </c>
      <c r="E1001" t="s">
        <v>930</v>
      </c>
      <c r="F1001">
        <v>35</v>
      </c>
      <c r="G1001" t="str">
        <f t="shared" si="31"/>
        <v>Adult</v>
      </c>
      <c r="H1001" t="s">
        <v>22</v>
      </c>
      <c r="I1001" t="s">
        <v>70</v>
      </c>
      <c r="J1001" t="s">
        <v>32</v>
      </c>
      <c r="K1001" t="s">
        <v>44</v>
      </c>
      <c r="L1001" t="s">
        <v>45</v>
      </c>
      <c r="M1001">
        <v>10</v>
      </c>
      <c r="N1001">
        <v>11703</v>
      </c>
      <c r="O1001">
        <v>117030</v>
      </c>
      <c r="P1001" t="s">
        <v>99</v>
      </c>
      <c r="Q1001">
        <v>10</v>
      </c>
      <c r="R1001">
        <v>2</v>
      </c>
      <c r="S1001" t="s">
        <v>46</v>
      </c>
    </row>
    <row r="1002" spans="1:19" x14ac:dyDescent="0.3">
      <c r="A1002">
        <v>999</v>
      </c>
      <c r="B1002" t="s">
        <v>1443</v>
      </c>
      <c r="C1002" s="6">
        <v>46290</v>
      </c>
      <c r="D1002" s="2" t="str">
        <f t="shared" si="30"/>
        <v>September</v>
      </c>
      <c r="E1002" t="s">
        <v>284</v>
      </c>
      <c r="F1002">
        <v>48</v>
      </c>
      <c r="G1002" t="str">
        <f t="shared" si="31"/>
        <v>Adult</v>
      </c>
      <c r="H1002" t="s">
        <v>42</v>
      </c>
      <c r="I1002" t="s">
        <v>43</v>
      </c>
      <c r="J1002" t="s">
        <v>32</v>
      </c>
      <c r="K1002" t="s">
        <v>25</v>
      </c>
      <c r="L1002" t="s">
        <v>94</v>
      </c>
      <c r="M1002">
        <v>8</v>
      </c>
      <c r="N1002">
        <v>15517</v>
      </c>
      <c r="O1002">
        <v>124136</v>
      </c>
      <c r="P1002" t="s">
        <v>61</v>
      </c>
      <c r="Q1002">
        <v>10</v>
      </c>
      <c r="R1002">
        <v>5</v>
      </c>
      <c r="S1002" t="s">
        <v>28</v>
      </c>
    </row>
    <row r="1003" spans="1:19" x14ac:dyDescent="0.3">
      <c r="A1003">
        <v>1000</v>
      </c>
      <c r="B1003" t="s">
        <v>1444</v>
      </c>
      <c r="C1003" s="6">
        <v>46291</v>
      </c>
      <c r="D1003" s="2" t="str">
        <f t="shared" si="30"/>
        <v>September</v>
      </c>
      <c r="E1003" t="s">
        <v>166</v>
      </c>
      <c r="F1003">
        <v>43</v>
      </c>
      <c r="G1003" t="str">
        <f t="shared" si="31"/>
        <v>Adult</v>
      </c>
      <c r="H1003" t="s">
        <v>22</v>
      </c>
      <c r="I1003" t="s">
        <v>43</v>
      </c>
      <c r="J1003" t="s">
        <v>24</v>
      </c>
      <c r="K1003" t="s">
        <v>38</v>
      </c>
      <c r="L1003" t="s">
        <v>96</v>
      </c>
      <c r="M1003">
        <v>5</v>
      </c>
      <c r="N1003">
        <v>49872</v>
      </c>
      <c r="O1003">
        <v>249360</v>
      </c>
      <c r="P1003" t="s">
        <v>61</v>
      </c>
      <c r="Q1003">
        <v>2</v>
      </c>
      <c r="R1003">
        <v>2</v>
      </c>
      <c r="S1003" t="s">
        <v>28</v>
      </c>
    </row>
  </sheetData>
  <sortState xmlns:xlrd2="http://schemas.microsoft.com/office/spreadsheetml/2017/richdata2" ref="B4:S1003">
    <sortCondition ref="C3:C1003"/>
  </sortState>
  <mergeCells count="1">
    <mergeCell ref="A1:S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DFC8-3D5B-4D5C-830E-5CF3E09DEE63}">
  <dimension ref="A1:E73"/>
  <sheetViews>
    <sheetView topLeftCell="A61" zoomScale="94" zoomScaleNormal="115" workbookViewId="0">
      <selection activeCell="D46" sqref="D46"/>
    </sheetView>
  </sheetViews>
  <sheetFormatPr defaultRowHeight="14.4" x14ac:dyDescent="0.3"/>
  <cols>
    <col min="1" max="1" width="13.77734375" bestFit="1" customWidth="1"/>
    <col min="2" max="2" width="19.21875" bestFit="1" customWidth="1"/>
    <col min="4" max="4" width="12.77734375" bestFit="1" customWidth="1"/>
    <col min="5" max="5" width="26" bestFit="1" customWidth="1"/>
  </cols>
  <sheetData>
    <row r="1" spans="1:2" x14ac:dyDescent="0.3">
      <c r="A1" s="7" t="s">
        <v>1445</v>
      </c>
      <c r="B1" t="s">
        <v>1446</v>
      </c>
    </row>
    <row r="2" spans="1:2" x14ac:dyDescent="0.3">
      <c r="A2" s="8" t="s">
        <v>1447</v>
      </c>
      <c r="B2">
        <v>10902829</v>
      </c>
    </row>
    <row r="3" spans="1:2" x14ac:dyDescent="0.3">
      <c r="A3" s="12" t="s">
        <v>25</v>
      </c>
      <c r="B3">
        <v>1368103</v>
      </c>
    </row>
    <row r="4" spans="1:2" x14ac:dyDescent="0.3">
      <c r="A4" s="12" t="s">
        <v>38</v>
      </c>
      <c r="B4">
        <v>3758978</v>
      </c>
    </row>
    <row r="5" spans="1:2" x14ac:dyDescent="0.3">
      <c r="A5" s="12" t="s">
        <v>33</v>
      </c>
      <c r="B5">
        <v>2314779</v>
      </c>
    </row>
    <row r="6" spans="1:2" x14ac:dyDescent="0.3">
      <c r="A6" s="12" t="s">
        <v>51</v>
      </c>
      <c r="B6">
        <v>117313</v>
      </c>
    </row>
    <row r="7" spans="1:2" x14ac:dyDescent="0.3">
      <c r="A7" s="12" t="s">
        <v>44</v>
      </c>
      <c r="B7">
        <v>3343656</v>
      </c>
    </row>
    <row r="8" spans="1:2" x14ac:dyDescent="0.3">
      <c r="A8" s="8" t="s">
        <v>1448</v>
      </c>
      <c r="B8">
        <v>10323954</v>
      </c>
    </row>
    <row r="9" spans="1:2" x14ac:dyDescent="0.3">
      <c r="A9" s="12" t="s">
        <v>25</v>
      </c>
      <c r="B9">
        <v>2325977</v>
      </c>
    </row>
    <row r="10" spans="1:2" x14ac:dyDescent="0.3">
      <c r="A10" s="12" t="s">
        <v>38</v>
      </c>
      <c r="B10">
        <v>2454320</v>
      </c>
    </row>
    <row r="11" spans="1:2" x14ac:dyDescent="0.3">
      <c r="A11" s="12" t="s">
        <v>33</v>
      </c>
      <c r="B11">
        <v>2907378</v>
      </c>
    </row>
    <row r="12" spans="1:2" x14ac:dyDescent="0.3">
      <c r="A12" s="12" t="s">
        <v>51</v>
      </c>
      <c r="B12">
        <v>77550</v>
      </c>
    </row>
    <row r="13" spans="1:2" x14ac:dyDescent="0.3">
      <c r="A13" s="12" t="s">
        <v>44</v>
      </c>
      <c r="B13">
        <v>2558729</v>
      </c>
    </row>
    <row r="14" spans="1:2" x14ac:dyDescent="0.3">
      <c r="A14" s="8" t="s">
        <v>1449</v>
      </c>
      <c r="B14">
        <v>10080603</v>
      </c>
    </row>
    <row r="15" spans="1:2" x14ac:dyDescent="0.3">
      <c r="A15" s="12" t="s">
        <v>25</v>
      </c>
      <c r="B15">
        <v>3757992</v>
      </c>
    </row>
    <row r="16" spans="1:2" x14ac:dyDescent="0.3">
      <c r="A16" s="12" t="s">
        <v>38</v>
      </c>
      <c r="B16">
        <v>1238770</v>
      </c>
    </row>
    <row r="17" spans="1:2" x14ac:dyDescent="0.3">
      <c r="A17" s="12" t="s">
        <v>33</v>
      </c>
      <c r="B17">
        <v>2659773</v>
      </c>
    </row>
    <row r="18" spans="1:2" x14ac:dyDescent="0.3">
      <c r="A18" s="12" t="s">
        <v>51</v>
      </c>
      <c r="B18">
        <v>92007</v>
      </c>
    </row>
    <row r="19" spans="1:2" x14ac:dyDescent="0.3">
      <c r="A19" s="12" t="s">
        <v>44</v>
      </c>
      <c r="B19">
        <v>2332061</v>
      </c>
    </row>
    <row r="20" spans="1:2" x14ac:dyDescent="0.3">
      <c r="A20" s="8" t="s">
        <v>1450</v>
      </c>
      <c r="B20">
        <v>11206959</v>
      </c>
    </row>
    <row r="21" spans="1:2" x14ac:dyDescent="0.3">
      <c r="A21" s="12" t="s">
        <v>25</v>
      </c>
      <c r="B21">
        <v>1798239</v>
      </c>
    </row>
    <row r="22" spans="1:2" x14ac:dyDescent="0.3">
      <c r="A22" s="12" t="s">
        <v>38</v>
      </c>
      <c r="B22">
        <v>3306507</v>
      </c>
    </row>
    <row r="23" spans="1:2" x14ac:dyDescent="0.3">
      <c r="A23" s="12" t="s">
        <v>33</v>
      </c>
      <c r="B23">
        <v>2773524</v>
      </c>
    </row>
    <row r="24" spans="1:2" x14ac:dyDescent="0.3">
      <c r="A24" s="12" t="s">
        <v>51</v>
      </c>
      <c r="B24">
        <v>90087</v>
      </c>
    </row>
    <row r="25" spans="1:2" x14ac:dyDescent="0.3">
      <c r="A25" s="12" t="s">
        <v>44</v>
      </c>
      <c r="B25">
        <v>3238602</v>
      </c>
    </row>
    <row r="26" spans="1:2" x14ac:dyDescent="0.3">
      <c r="A26" s="8" t="s">
        <v>1451</v>
      </c>
      <c r="B26">
        <v>9528907</v>
      </c>
    </row>
    <row r="27" spans="1:2" x14ac:dyDescent="0.3">
      <c r="A27" s="12" t="s">
        <v>25</v>
      </c>
      <c r="B27">
        <v>1969261</v>
      </c>
    </row>
    <row r="28" spans="1:2" x14ac:dyDescent="0.3">
      <c r="A28" s="12" t="s">
        <v>38</v>
      </c>
      <c r="B28">
        <v>2589401</v>
      </c>
    </row>
    <row r="29" spans="1:2" x14ac:dyDescent="0.3">
      <c r="A29" s="12" t="s">
        <v>33</v>
      </c>
      <c r="B29">
        <v>3085288</v>
      </c>
    </row>
    <row r="30" spans="1:2" x14ac:dyDescent="0.3">
      <c r="A30" s="12" t="s">
        <v>51</v>
      </c>
      <c r="B30">
        <v>99390</v>
      </c>
    </row>
    <row r="31" spans="1:2" x14ac:dyDescent="0.3">
      <c r="A31" s="12" t="s">
        <v>44</v>
      </c>
      <c r="B31">
        <v>1785567</v>
      </c>
    </row>
    <row r="32" spans="1:2" x14ac:dyDescent="0.3">
      <c r="A32" s="8" t="s">
        <v>1452</v>
      </c>
      <c r="B32">
        <v>10519343</v>
      </c>
    </row>
    <row r="33" spans="1:5" x14ac:dyDescent="0.3">
      <c r="A33" s="12" t="s">
        <v>25</v>
      </c>
      <c r="B33">
        <v>1289460</v>
      </c>
    </row>
    <row r="34" spans="1:5" x14ac:dyDescent="0.3">
      <c r="A34" s="12" t="s">
        <v>38</v>
      </c>
      <c r="B34">
        <v>2407971</v>
      </c>
    </row>
    <row r="35" spans="1:5" x14ac:dyDescent="0.3">
      <c r="A35" s="12" t="s">
        <v>33</v>
      </c>
      <c r="B35">
        <v>3890649</v>
      </c>
    </row>
    <row r="36" spans="1:5" x14ac:dyDescent="0.3">
      <c r="A36" s="12" t="s">
        <v>51</v>
      </c>
      <c r="B36">
        <v>68911</v>
      </c>
    </row>
    <row r="37" spans="1:5" x14ac:dyDescent="0.3">
      <c r="A37" s="12" t="s">
        <v>44</v>
      </c>
      <c r="B37">
        <v>2862352</v>
      </c>
    </row>
    <row r="38" spans="1:5" x14ac:dyDescent="0.3">
      <c r="A38" s="8" t="s">
        <v>1453</v>
      </c>
      <c r="B38">
        <v>11740538</v>
      </c>
    </row>
    <row r="39" spans="1:5" x14ac:dyDescent="0.3">
      <c r="A39" s="12" t="s">
        <v>25</v>
      </c>
      <c r="B39">
        <v>2869137</v>
      </c>
    </row>
    <row r="40" spans="1:5" x14ac:dyDescent="0.3">
      <c r="A40" s="12" t="s">
        <v>38</v>
      </c>
      <c r="B40">
        <v>3430248</v>
      </c>
    </row>
    <row r="41" spans="1:5" x14ac:dyDescent="0.3">
      <c r="A41" s="12" t="s">
        <v>33</v>
      </c>
      <c r="B41">
        <v>2516971</v>
      </c>
    </row>
    <row r="42" spans="1:5" x14ac:dyDescent="0.3">
      <c r="A42" s="12" t="s">
        <v>51</v>
      </c>
      <c r="B42">
        <v>50061</v>
      </c>
    </row>
    <row r="43" spans="1:5" x14ac:dyDescent="0.3">
      <c r="A43" s="12" t="s">
        <v>44</v>
      </c>
      <c r="B43">
        <v>2874121</v>
      </c>
    </row>
    <row r="44" spans="1:5" x14ac:dyDescent="0.3">
      <c r="A44" s="8" t="s">
        <v>1454</v>
      </c>
      <c r="B44">
        <v>10935869</v>
      </c>
    </row>
    <row r="45" spans="1:5" x14ac:dyDescent="0.3">
      <c r="A45" s="12" t="s">
        <v>25</v>
      </c>
      <c r="B45">
        <v>2715502</v>
      </c>
    </row>
    <row r="46" spans="1:5" x14ac:dyDescent="0.3">
      <c r="A46" s="12" t="s">
        <v>38</v>
      </c>
      <c r="B46">
        <v>2550735</v>
      </c>
      <c r="D46" s="7" t="s">
        <v>1445</v>
      </c>
      <c r="E46" t="s">
        <v>1455</v>
      </c>
    </row>
    <row r="47" spans="1:5" x14ac:dyDescent="0.3">
      <c r="A47" s="12" t="s">
        <v>33</v>
      </c>
      <c r="B47">
        <v>3010888</v>
      </c>
      <c r="D47" s="8" t="s">
        <v>1447</v>
      </c>
      <c r="E47">
        <v>10902829</v>
      </c>
    </row>
    <row r="48" spans="1:5" x14ac:dyDescent="0.3">
      <c r="A48" s="12" t="s">
        <v>51</v>
      </c>
      <c r="B48">
        <v>49571</v>
      </c>
      <c r="D48" s="8" t="s">
        <v>1448</v>
      </c>
      <c r="E48">
        <v>10323954</v>
      </c>
    </row>
    <row r="49" spans="1:5" x14ac:dyDescent="0.3">
      <c r="A49" s="12" t="s">
        <v>44</v>
      </c>
      <c r="B49">
        <v>2609173</v>
      </c>
      <c r="D49" s="8" t="s">
        <v>1449</v>
      </c>
      <c r="E49">
        <v>10080603</v>
      </c>
    </row>
    <row r="50" spans="1:5" x14ac:dyDescent="0.3">
      <c r="A50" s="8" t="s">
        <v>1456</v>
      </c>
      <c r="B50">
        <v>10650271</v>
      </c>
      <c r="D50" s="8" t="s">
        <v>1450</v>
      </c>
      <c r="E50">
        <v>11206959</v>
      </c>
    </row>
    <row r="51" spans="1:5" x14ac:dyDescent="0.3">
      <c r="A51" s="12" t="s">
        <v>25</v>
      </c>
      <c r="B51">
        <v>1732048</v>
      </c>
      <c r="D51" s="8" t="s">
        <v>1451</v>
      </c>
      <c r="E51">
        <v>9528907</v>
      </c>
    </row>
    <row r="52" spans="1:5" x14ac:dyDescent="0.3">
      <c r="A52" s="12" t="s">
        <v>38</v>
      </c>
      <c r="B52">
        <v>3217561</v>
      </c>
      <c r="D52" s="8" t="s">
        <v>1452</v>
      </c>
      <c r="E52">
        <v>10519343</v>
      </c>
    </row>
    <row r="53" spans="1:5" x14ac:dyDescent="0.3">
      <c r="A53" s="12" t="s">
        <v>33</v>
      </c>
      <c r="B53">
        <v>2858591</v>
      </c>
      <c r="D53" s="8" t="s">
        <v>1453</v>
      </c>
      <c r="E53">
        <v>11740538</v>
      </c>
    </row>
    <row r="54" spans="1:5" x14ac:dyDescent="0.3">
      <c r="A54" s="12" t="s">
        <v>51</v>
      </c>
      <c r="B54">
        <v>42305</v>
      </c>
      <c r="D54" s="8" t="s">
        <v>1454</v>
      </c>
      <c r="E54">
        <v>10935869</v>
      </c>
    </row>
    <row r="55" spans="1:5" x14ac:dyDescent="0.3">
      <c r="A55" s="12" t="s">
        <v>44</v>
      </c>
      <c r="B55">
        <v>2799766</v>
      </c>
      <c r="D55" s="8" t="s">
        <v>1456</v>
      </c>
      <c r="E55">
        <v>10650271</v>
      </c>
    </row>
    <row r="56" spans="1:5" x14ac:dyDescent="0.3">
      <c r="A56" s="8" t="s">
        <v>1457</v>
      </c>
      <c r="B56">
        <v>5777595</v>
      </c>
      <c r="D56" s="8" t="s">
        <v>1457</v>
      </c>
      <c r="E56">
        <v>5777595</v>
      </c>
    </row>
    <row r="57" spans="1:5" x14ac:dyDescent="0.3">
      <c r="A57" s="12" t="s">
        <v>25</v>
      </c>
      <c r="B57">
        <v>777866</v>
      </c>
      <c r="D57" s="8" t="s">
        <v>1458</v>
      </c>
      <c r="E57">
        <v>5065530</v>
      </c>
    </row>
    <row r="58" spans="1:5" x14ac:dyDescent="0.3">
      <c r="A58" s="12" t="s">
        <v>38</v>
      </c>
      <c r="B58">
        <v>1729154</v>
      </c>
      <c r="D58" s="8" t="s">
        <v>1459</v>
      </c>
      <c r="E58">
        <v>6377012</v>
      </c>
    </row>
    <row r="59" spans="1:5" x14ac:dyDescent="0.3">
      <c r="A59" s="12" t="s">
        <v>33</v>
      </c>
      <c r="B59">
        <v>995174</v>
      </c>
      <c r="D59" s="8" t="s">
        <v>25</v>
      </c>
      <c r="E59">
        <v>24154838</v>
      </c>
    </row>
    <row r="60" spans="1:5" x14ac:dyDescent="0.3">
      <c r="A60" s="12" t="s">
        <v>51</v>
      </c>
      <c r="B60">
        <v>94111</v>
      </c>
      <c r="D60" s="8" t="s">
        <v>38</v>
      </c>
      <c r="E60">
        <v>29579232</v>
      </c>
    </row>
    <row r="61" spans="1:5" x14ac:dyDescent="0.3">
      <c r="A61" s="12" t="s">
        <v>44</v>
      </c>
      <c r="B61">
        <v>2181290</v>
      </c>
      <c r="D61" s="8" t="s">
        <v>33</v>
      </c>
      <c r="E61">
        <v>29368247</v>
      </c>
    </row>
    <row r="62" spans="1:5" x14ac:dyDescent="0.3">
      <c r="A62" s="8" t="s">
        <v>1458</v>
      </c>
      <c r="B62">
        <v>5065530</v>
      </c>
      <c r="D62" s="8" t="s">
        <v>51</v>
      </c>
      <c r="E62">
        <v>933940</v>
      </c>
    </row>
    <row r="63" spans="1:5" x14ac:dyDescent="0.3">
      <c r="A63" s="12" t="s">
        <v>25</v>
      </c>
      <c r="B63">
        <v>1584928</v>
      </c>
      <c r="D63" s="8" t="s">
        <v>44</v>
      </c>
      <c r="E63">
        <v>29073153</v>
      </c>
    </row>
    <row r="64" spans="1:5" x14ac:dyDescent="0.3">
      <c r="A64" s="12" t="s">
        <v>38</v>
      </c>
      <c r="B64">
        <v>881041</v>
      </c>
      <c r="D64" s="8" t="s">
        <v>1460</v>
      </c>
      <c r="E64">
        <v>226218820</v>
      </c>
    </row>
    <row r="65" spans="1:2" x14ac:dyDescent="0.3">
      <c r="A65" s="12" t="s">
        <v>33</v>
      </c>
      <c r="B65">
        <v>1383032</v>
      </c>
    </row>
    <row r="66" spans="1:2" x14ac:dyDescent="0.3">
      <c r="A66" s="12" t="s">
        <v>51</v>
      </c>
      <c r="B66">
        <v>111618</v>
      </c>
    </row>
    <row r="67" spans="1:2" x14ac:dyDescent="0.3">
      <c r="A67" s="12" t="s">
        <v>44</v>
      </c>
      <c r="B67">
        <v>1104911</v>
      </c>
    </row>
    <row r="68" spans="1:2" x14ac:dyDescent="0.3">
      <c r="A68" s="8" t="s">
        <v>1459</v>
      </c>
      <c r="B68">
        <v>6377012</v>
      </c>
    </row>
    <row r="69" spans="1:2" x14ac:dyDescent="0.3">
      <c r="A69" s="12" t="s">
        <v>25</v>
      </c>
      <c r="B69">
        <v>1966325</v>
      </c>
    </row>
    <row r="70" spans="1:2" x14ac:dyDescent="0.3">
      <c r="A70" s="12" t="s">
        <v>38</v>
      </c>
      <c r="B70">
        <v>2014546</v>
      </c>
    </row>
    <row r="71" spans="1:2" x14ac:dyDescent="0.3">
      <c r="A71" s="12" t="s">
        <v>33</v>
      </c>
      <c r="B71">
        <v>972200</v>
      </c>
    </row>
    <row r="72" spans="1:2" x14ac:dyDescent="0.3">
      <c r="A72" s="12" t="s">
        <v>51</v>
      </c>
      <c r="B72">
        <v>41016</v>
      </c>
    </row>
    <row r="73" spans="1:2" x14ac:dyDescent="0.3">
      <c r="A73" s="12" t="s">
        <v>44</v>
      </c>
      <c r="B73">
        <v>1382925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C64CB-119D-46EE-9FB8-8DC8B36D5F3C}">
  <dimension ref="A1:B2"/>
  <sheetViews>
    <sheetView workbookViewId="0">
      <selection activeCell="B1" sqref="B1"/>
    </sheetView>
  </sheetViews>
  <sheetFormatPr defaultRowHeight="14.4" x14ac:dyDescent="0.3"/>
  <cols>
    <col min="1" max="1" width="12.5546875" bestFit="1" customWidth="1"/>
    <col min="2" max="2" width="19.33203125" bestFit="1" customWidth="1"/>
  </cols>
  <sheetData>
    <row r="1" spans="1:2" x14ac:dyDescent="0.3">
      <c r="A1" s="7" t="s">
        <v>1445</v>
      </c>
      <c r="B1" t="s">
        <v>1446</v>
      </c>
    </row>
    <row r="2" spans="1:2" x14ac:dyDescent="0.3">
      <c r="A2" s="8" t="s">
        <v>42</v>
      </c>
      <c r="B2" s="18">
        <v>55843216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52665-3B41-4DD4-8566-03BCACD62E53}">
  <dimension ref="A1:C2"/>
  <sheetViews>
    <sheetView zoomScaleNormal="100" workbookViewId="0">
      <selection activeCell="C11" sqref="C11"/>
    </sheetView>
  </sheetViews>
  <sheetFormatPr defaultRowHeight="14.4" x14ac:dyDescent="0.3"/>
  <cols>
    <col min="1" max="1" width="12.5546875" bestFit="1" customWidth="1"/>
    <col min="2" max="2" width="19.33203125" bestFit="1" customWidth="1"/>
    <col min="3" max="3" width="15.88671875" bestFit="1" customWidth="1"/>
  </cols>
  <sheetData>
    <row r="1" spans="1:3" x14ac:dyDescent="0.3">
      <c r="A1" s="7" t="s">
        <v>1445</v>
      </c>
      <c r="B1" t="s">
        <v>1446</v>
      </c>
      <c r="C1" t="s">
        <v>1461</v>
      </c>
    </row>
    <row r="2" spans="1:3" x14ac:dyDescent="0.3">
      <c r="A2" s="8" t="s">
        <v>1456</v>
      </c>
      <c r="B2" s="18">
        <v>239000</v>
      </c>
      <c r="C2" s="1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5E18C-FB78-46EA-88B6-08B72FE10B87}">
  <dimension ref="A1:C10"/>
  <sheetViews>
    <sheetView zoomScale="103" workbookViewId="0">
      <selection activeCell="G1" sqref="G1"/>
    </sheetView>
  </sheetViews>
  <sheetFormatPr defaultRowHeight="14.4" x14ac:dyDescent="0.3"/>
  <cols>
    <col min="1" max="1" width="12.44140625" bestFit="1" customWidth="1"/>
    <col min="2" max="2" width="19.21875" bestFit="1" customWidth="1"/>
    <col min="3" max="3" width="23.21875" bestFit="1" customWidth="1"/>
  </cols>
  <sheetData>
    <row r="1" spans="1:3" x14ac:dyDescent="0.3">
      <c r="A1" s="7" t="s">
        <v>1445</v>
      </c>
      <c r="B1" t="s">
        <v>1446</v>
      </c>
      <c r="C1" t="s">
        <v>1462</v>
      </c>
    </row>
    <row r="2" spans="1:3" x14ac:dyDescent="0.3">
      <c r="A2" s="8" t="s">
        <v>1463</v>
      </c>
      <c r="B2">
        <v>54637861</v>
      </c>
      <c r="C2">
        <v>479</v>
      </c>
    </row>
    <row r="3" spans="1:3" x14ac:dyDescent="0.3">
      <c r="A3" s="12" t="s">
        <v>42</v>
      </c>
      <c r="B3">
        <v>25413935</v>
      </c>
      <c r="C3">
        <v>226</v>
      </c>
    </row>
    <row r="4" spans="1:3" x14ac:dyDescent="0.3">
      <c r="A4" s="12" t="s">
        <v>22</v>
      </c>
      <c r="B4">
        <v>29223926</v>
      </c>
      <c r="C4">
        <v>253</v>
      </c>
    </row>
    <row r="5" spans="1:3" x14ac:dyDescent="0.3">
      <c r="A5" s="8" t="s">
        <v>1464</v>
      </c>
      <c r="B5">
        <v>28698632</v>
      </c>
      <c r="C5">
        <v>271</v>
      </c>
    </row>
    <row r="6" spans="1:3" x14ac:dyDescent="0.3">
      <c r="A6" s="12" t="s">
        <v>42</v>
      </c>
      <c r="B6">
        <v>14954566</v>
      </c>
      <c r="C6">
        <v>136</v>
      </c>
    </row>
    <row r="7" spans="1:3" x14ac:dyDescent="0.3">
      <c r="A7" s="12" t="s">
        <v>22</v>
      </c>
      <c r="B7">
        <v>13744066</v>
      </c>
      <c r="C7">
        <v>135</v>
      </c>
    </row>
    <row r="8" spans="1:3" x14ac:dyDescent="0.3">
      <c r="A8" s="8" t="s">
        <v>1465</v>
      </c>
      <c r="B8">
        <v>29772917</v>
      </c>
      <c r="C8">
        <v>250</v>
      </c>
    </row>
    <row r="9" spans="1:3" x14ac:dyDescent="0.3">
      <c r="A9" s="12" t="s">
        <v>42</v>
      </c>
      <c r="B9">
        <v>15474715</v>
      </c>
      <c r="C9">
        <v>124</v>
      </c>
    </row>
    <row r="10" spans="1:3" x14ac:dyDescent="0.3">
      <c r="A10" s="12" t="s">
        <v>22</v>
      </c>
      <c r="B10">
        <v>14298202</v>
      </c>
      <c r="C10">
        <v>126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A28F-20B3-481F-871F-6288927FB344}">
  <dimension ref="A1:B14"/>
  <sheetViews>
    <sheetView workbookViewId="0">
      <selection activeCell="AI7" sqref="AI7"/>
    </sheetView>
  </sheetViews>
  <sheetFormatPr defaultRowHeight="14.4" x14ac:dyDescent="0.3"/>
  <cols>
    <col min="1" max="1" width="19.33203125" bestFit="1" customWidth="1"/>
    <col min="2" max="2" width="15.5546875" bestFit="1" customWidth="1"/>
    <col min="3" max="5" width="7.77734375" bestFit="1" customWidth="1"/>
    <col min="6" max="6" width="10.77734375" bestFit="1" customWidth="1"/>
  </cols>
  <sheetData>
    <row r="1" spans="1:2" x14ac:dyDescent="0.3">
      <c r="A1" s="7" t="s">
        <v>1446</v>
      </c>
      <c r="B1" s="7" t="s">
        <v>1466</v>
      </c>
    </row>
    <row r="2" spans="1:2" x14ac:dyDescent="0.3">
      <c r="A2" s="7" t="s">
        <v>1445</v>
      </c>
      <c r="B2" t="s">
        <v>65</v>
      </c>
    </row>
    <row r="3" spans="1:2" x14ac:dyDescent="0.3">
      <c r="A3" s="8" t="s">
        <v>1447</v>
      </c>
      <c r="B3" s="18">
        <v>801721</v>
      </c>
    </row>
    <row r="4" spans="1:2" x14ac:dyDescent="0.3">
      <c r="A4" s="8" t="s">
        <v>1448</v>
      </c>
      <c r="B4" s="18">
        <v>649032</v>
      </c>
    </row>
    <row r="5" spans="1:2" x14ac:dyDescent="0.3">
      <c r="A5" s="8" t="s">
        <v>1449</v>
      </c>
      <c r="B5" s="18">
        <v>60255</v>
      </c>
    </row>
    <row r="6" spans="1:2" x14ac:dyDescent="0.3">
      <c r="A6" s="8" t="s">
        <v>1450</v>
      </c>
      <c r="B6" s="18">
        <v>1095535</v>
      </c>
    </row>
    <row r="7" spans="1:2" x14ac:dyDescent="0.3">
      <c r="A7" s="8" t="s">
        <v>1451</v>
      </c>
      <c r="B7" s="18">
        <v>635254</v>
      </c>
    </row>
    <row r="8" spans="1:2" x14ac:dyDescent="0.3">
      <c r="A8" s="8" t="s">
        <v>1452</v>
      </c>
      <c r="B8" s="18">
        <v>423784</v>
      </c>
    </row>
    <row r="9" spans="1:2" x14ac:dyDescent="0.3">
      <c r="A9" s="8" t="s">
        <v>1453</v>
      </c>
      <c r="B9" s="18">
        <v>779027</v>
      </c>
    </row>
    <row r="10" spans="1:2" x14ac:dyDescent="0.3">
      <c r="A10" s="8" t="s">
        <v>1454</v>
      </c>
      <c r="B10" s="18">
        <v>384858</v>
      </c>
    </row>
    <row r="11" spans="1:2" x14ac:dyDescent="0.3">
      <c r="A11" s="8" t="s">
        <v>1456</v>
      </c>
      <c r="B11" s="18">
        <v>1287210</v>
      </c>
    </row>
    <row r="12" spans="1:2" x14ac:dyDescent="0.3">
      <c r="A12" s="8" t="s">
        <v>1457</v>
      </c>
      <c r="B12" s="18">
        <v>691806</v>
      </c>
    </row>
    <row r="13" spans="1:2" x14ac:dyDescent="0.3">
      <c r="A13" s="8" t="s">
        <v>1458</v>
      </c>
      <c r="B13" s="18">
        <v>145075</v>
      </c>
    </row>
    <row r="14" spans="1:2" x14ac:dyDescent="0.3">
      <c r="A14" s="8" t="s">
        <v>1459</v>
      </c>
      <c r="B14" s="18">
        <v>317873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A13E-19DE-4D5E-B127-4BE754588737}">
  <dimension ref="A1:C26"/>
  <sheetViews>
    <sheetView workbookViewId="0">
      <selection activeCell="I18" sqref="I18"/>
    </sheetView>
  </sheetViews>
  <sheetFormatPr defaultRowHeight="14.4" x14ac:dyDescent="0.3"/>
  <cols>
    <col min="1" max="1" width="17" bestFit="1" customWidth="1"/>
    <col min="2" max="2" width="18.77734375" bestFit="1" customWidth="1"/>
    <col min="3" max="3" width="21.77734375" bestFit="1" customWidth="1"/>
  </cols>
  <sheetData>
    <row r="1" spans="1:3" x14ac:dyDescent="0.3">
      <c r="A1" s="7" t="s">
        <v>1445</v>
      </c>
      <c r="B1" t="s">
        <v>1467</v>
      </c>
      <c r="C1" t="s">
        <v>1468</v>
      </c>
    </row>
    <row r="2" spans="1:3" x14ac:dyDescent="0.3">
      <c r="A2" s="8" t="s">
        <v>61</v>
      </c>
      <c r="B2">
        <v>1086</v>
      </c>
      <c r="C2">
        <v>571</v>
      </c>
    </row>
    <row r="3" spans="1:3" x14ac:dyDescent="0.3">
      <c r="A3" s="8" t="s">
        <v>116</v>
      </c>
      <c r="B3">
        <v>1211</v>
      </c>
      <c r="C3">
        <v>653</v>
      </c>
    </row>
    <row r="4" spans="1:3" x14ac:dyDescent="0.3">
      <c r="A4" s="12" t="s">
        <v>25</v>
      </c>
      <c r="B4">
        <v>209</v>
      </c>
      <c r="C4">
        <v>97</v>
      </c>
    </row>
    <row r="5" spans="1:3" x14ac:dyDescent="0.3">
      <c r="A5" s="12" t="s">
        <v>38</v>
      </c>
      <c r="B5">
        <v>254</v>
      </c>
      <c r="C5">
        <v>139</v>
      </c>
    </row>
    <row r="6" spans="1:3" x14ac:dyDescent="0.3">
      <c r="A6" s="12" t="s">
        <v>33</v>
      </c>
      <c r="B6">
        <v>271</v>
      </c>
      <c r="C6">
        <v>147</v>
      </c>
    </row>
    <row r="7" spans="1:3" x14ac:dyDescent="0.3">
      <c r="A7" s="12" t="s">
        <v>51</v>
      </c>
      <c r="B7">
        <v>224</v>
      </c>
      <c r="C7">
        <v>127</v>
      </c>
    </row>
    <row r="8" spans="1:3" x14ac:dyDescent="0.3">
      <c r="A8" s="12" t="s">
        <v>44</v>
      </c>
      <c r="B8">
        <v>253</v>
      </c>
      <c r="C8">
        <v>143</v>
      </c>
    </row>
    <row r="9" spans="1:3" x14ac:dyDescent="0.3">
      <c r="A9" s="8" t="s">
        <v>53</v>
      </c>
      <c r="B9">
        <v>1075</v>
      </c>
      <c r="C9">
        <v>596</v>
      </c>
    </row>
    <row r="10" spans="1:3" x14ac:dyDescent="0.3">
      <c r="A10" s="12" t="s">
        <v>25</v>
      </c>
      <c r="B10">
        <v>210</v>
      </c>
      <c r="C10">
        <v>134</v>
      </c>
    </row>
    <row r="11" spans="1:3" x14ac:dyDescent="0.3">
      <c r="A11" s="12" t="s">
        <v>38</v>
      </c>
      <c r="B11">
        <v>262</v>
      </c>
      <c r="C11">
        <v>137</v>
      </c>
    </row>
    <row r="12" spans="1:3" x14ac:dyDescent="0.3">
      <c r="A12" s="12" t="s">
        <v>33</v>
      </c>
      <c r="B12">
        <v>211</v>
      </c>
      <c r="C12">
        <v>129</v>
      </c>
    </row>
    <row r="13" spans="1:3" x14ac:dyDescent="0.3">
      <c r="A13" s="12" t="s">
        <v>51</v>
      </c>
      <c r="B13">
        <v>189</v>
      </c>
      <c r="C13">
        <v>94</v>
      </c>
    </row>
    <row r="14" spans="1:3" x14ac:dyDescent="0.3">
      <c r="A14" s="12" t="s">
        <v>44</v>
      </c>
      <c r="B14">
        <v>203</v>
      </c>
      <c r="C14">
        <v>102</v>
      </c>
    </row>
    <row r="15" spans="1:3" x14ac:dyDescent="0.3">
      <c r="A15" s="8" t="s">
        <v>27</v>
      </c>
      <c r="B15">
        <v>1004</v>
      </c>
      <c r="C15">
        <v>578</v>
      </c>
    </row>
    <row r="16" spans="1:3" x14ac:dyDescent="0.3">
      <c r="A16" s="12" t="s">
        <v>25</v>
      </c>
      <c r="B16">
        <v>149</v>
      </c>
      <c r="C16">
        <v>88</v>
      </c>
    </row>
    <row r="17" spans="1:3" x14ac:dyDescent="0.3">
      <c r="A17" s="12" t="s">
        <v>38</v>
      </c>
      <c r="B17">
        <v>202</v>
      </c>
      <c r="C17">
        <v>122</v>
      </c>
    </row>
    <row r="18" spans="1:3" x14ac:dyDescent="0.3">
      <c r="A18" s="12" t="s">
        <v>33</v>
      </c>
      <c r="B18">
        <v>223</v>
      </c>
      <c r="C18">
        <v>129</v>
      </c>
    </row>
    <row r="19" spans="1:3" x14ac:dyDescent="0.3">
      <c r="A19" s="12" t="s">
        <v>51</v>
      </c>
      <c r="B19">
        <v>187</v>
      </c>
      <c r="C19">
        <v>100</v>
      </c>
    </row>
    <row r="20" spans="1:3" x14ac:dyDescent="0.3">
      <c r="A20" s="12" t="s">
        <v>44</v>
      </c>
      <c r="B20">
        <v>243</v>
      </c>
      <c r="C20">
        <v>139</v>
      </c>
    </row>
    <row r="21" spans="1:3" x14ac:dyDescent="0.3">
      <c r="A21" s="8" t="s">
        <v>99</v>
      </c>
      <c r="B21">
        <v>1157</v>
      </c>
      <c r="C21">
        <v>620</v>
      </c>
    </row>
    <row r="22" spans="1:3" x14ac:dyDescent="0.3">
      <c r="A22" s="12" t="s">
        <v>25</v>
      </c>
      <c r="B22">
        <v>230</v>
      </c>
      <c r="C22">
        <v>118</v>
      </c>
    </row>
    <row r="23" spans="1:3" x14ac:dyDescent="0.3">
      <c r="A23" s="12" t="s">
        <v>38</v>
      </c>
      <c r="B23">
        <v>237</v>
      </c>
      <c r="C23">
        <v>117</v>
      </c>
    </row>
    <row r="24" spans="1:3" x14ac:dyDescent="0.3">
      <c r="A24" s="12" t="s">
        <v>33</v>
      </c>
      <c r="B24">
        <v>231</v>
      </c>
      <c r="C24">
        <v>147</v>
      </c>
    </row>
    <row r="25" spans="1:3" x14ac:dyDescent="0.3">
      <c r="A25" s="12" t="s">
        <v>51</v>
      </c>
      <c r="B25">
        <v>186</v>
      </c>
      <c r="C25">
        <v>111</v>
      </c>
    </row>
    <row r="26" spans="1:3" x14ac:dyDescent="0.3">
      <c r="A26" s="12" t="s">
        <v>44</v>
      </c>
      <c r="B26">
        <v>273</v>
      </c>
      <c r="C26">
        <v>127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65DE0-FFD8-4059-B62B-838F9AB319E5}">
  <dimension ref="A2:B8"/>
  <sheetViews>
    <sheetView workbookViewId="0">
      <selection activeCell="B4" sqref="B4"/>
    </sheetView>
  </sheetViews>
  <sheetFormatPr defaultRowHeight="14.4" x14ac:dyDescent="0.3"/>
  <cols>
    <col min="1" max="1" width="12.44140625" bestFit="1" customWidth="1"/>
    <col min="2" max="2" width="19.21875" bestFit="1" customWidth="1"/>
  </cols>
  <sheetData>
    <row r="2" spans="1:2" x14ac:dyDescent="0.3">
      <c r="A2" s="16" t="s">
        <v>1469</v>
      </c>
      <c r="B2" s="17"/>
    </row>
    <row r="3" spans="1:2" x14ac:dyDescent="0.3">
      <c r="A3" s="7" t="s">
        <v>1445</v>
      </c>
      <c r="B3" t="s">
        <v>1446</v>
      </c>
    </row>
    <row r="4" spans="1:2" x14ac:dyDescent="0.3">
      <c r="A4" s="8" t="s">
        <v>91</v>
      </c>
      <c r="B4">
        <v>7229024</v>
      </c>
    </row>
    <row r="5" spans="1:2" x14ac:dyDescent="0.3">
      <c r="A5" s="8" t="s">
        <v>224</v>
      </c>
      <c r="B5">
        <v>6577931</v>
      </c>
    </row>
    <row r="6" spans="1:2" x14ac:dyDescent="0.3">
      <c r="A6" s="8" t="s">
        <v>96</v>
      </c>
      <c r="B6">
        <v>7283329</v>
      </c>
    </row>
    <row r="7" spans="1:2" x14ac:dyDescent="0.3">
      <c r="A7" s="8" t="s">
        <v>34</v>
      </c>
      <c r="B7">
        <v>7007761</v>
      </c>
    </row>
    <row r="8" spans="1:2" x14ac:dyDescent="0.3">
      <c r="A8" s="8" t="s">
        <v>173</v>
      </c>
      <c r="B8">
        <v>6675186</v>
      </c>
    </row>
  </sheetData>
  <mergeCells count="1">
    <mergeCell ref="A2:B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4B0B-06C1-428F-AA9E-91AE7B235E0E}">
  <dimension ref="A1:C11"/>
  <sheetViews>
    <sheetView zoomScale="101" workbookViewId="0">
      <selection activeCell="M6" sqref="M6"/>
    </sheetView>
  </sheetViews>
  <sheetFormatPr defaultRowHeight="14.4" x14ac:dyDescent="0.3"/>
  <cols>
    <col min="1" max="1" width="12.44140625" bestFit="1" customWidth="1"/>
    <col min="2" max="2" width="21.77734375" bestFit="1" customWidth="1"/>
    <col min="3" max="3" width="23.21875" bestFit="1" customWidth="1"/>
  </cols>
  <sheetData>
    <row r="1" spans="1:3" x14ac:dyDescent="0.3">
      <c r="A1" s="7" t="s">
        <v>1445</v>
      </c>
      <c r="B1" t="s">
        <v>1468</v>
      </c>
      <c r="C1" t="s">
        <v>1462</v>
      </c>
    </row>
    <row r="2" spans="1:3" x14ac:dyDescent="0.3">
      <c r="A2" s="8">
        <v>1</v>
      </c>
      <c r="B2">
        <v>280</v>
      </c>
      <c r="C2">
        <v>94</v>
      </c>
    </row>
    <row r="3" spans="1:3" x14ac:dyDescent="0.3">
      <c r="A3" s="8">
        <v>2</v>
      </c>
      <c r="B3">
        <v>280</v>
      </c>
      <c r="C3">
        <v>90</v>
      </c>
    </row>
    <row r="4" spans="1:3" x14ac:dyDescent="0.3">
      <c r="A4" s="8">
        <v>3</v>
      </c>
      <c r="B4">
        <v>296</v>
      </c>
      <c r="C4">
        <v>94</v>
      </c>
    </row>
    <row r="5" spans="1:3" x14ac:dyDescent="0.3">
      <c r="A5" s="8">
        <v>4</v>
      </c>
      <c r="B5">
        <v>269</v>
      </c>
      <c r="C5">
        <v>95</v>
      </c>
    </row>
    <row r="6" spans="1:3" x14ac:dyDescent="0.3">
      <c r="A6" s="8">
        <v>5</v>
      </c>
      <c r="B6">
        <v>348</v>
      </c>
      <c r="C6">
        <v>119</v>
      </c>
    </row>
    <row r="7" spans="1:3" x14ac:dyDescent="0.3">
      <c r="A7" s="8">
        <v>6</v>
      </c>
      <c r="B7">
        <v>348</v>
      </c>
      <c r="C7">
        <v>111</v>
      </c>
    </row>
    <row r="8" spans="1:3" x14ac:dyDescent="0.3">
      <c r="A8" s="8">
        <v>7</v>
      </c>
      <c r="B8">
        <v>330</v>
      </c>
      <c r="C8">
        <v>116</v>
      </c>
    </row>
    <row r="9" spans="1:3" x14ac:dyDescent="0.3">
      <c r="A9" s="8">
        <v>8</v>
      </c>
      <c r="B9">
        <v>321</v>
      </c>
      <c r="C9">
        <v>97</v>
      </c>
    </row>
    <row r="10" spans="1:3" x14ac:dyDescent="0.3">
      <c r="A10" s="8">
        <v>9</v>
      </c>
      <c r="B10">
        <v>280</v>
      </c>
      <c r="C10">
        <v>92</v>
      </c>
    </row>
    <row r="11" spans="1:3" x14ac:dyDescent="0.3">
      <c r="A11" s="8">
        <v>10</v>
      </c>
      <c r="B11">
        <v>266</v>
      </c>
      <c r="C11">
        <v>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12D2-E642-446E-A850-08F839B8A0BB}">
  <dimension ref="A1:C11"/>
  <sheetViews>
    <sheetView workbookViewId="0">
      <selection activeCell="O16" sqref="O16"/>
    </sheetView>
  </sheetViews>
  <sheetFormatPr defaultRowHeight="14.4" x14ac:dyDescent="0.3"/>
  <cols>
    <col min="1" max="1" width="12.44140625" bestFit="1" customWidth="1"/>
    <col min="2" max="2" width="21.21875" bestFit="1" customWidth="1"/>
    <col min="3" max="3" width="19.21875" bestFit="1" customWidth="1"/>
  </cols>
  <sheetData>
    <row r="1" spans="1:3" x14ac:dyDescent="0.3">
      <c r="A1" s="7" t="s">
        <v>1445</v>
      </c>
      <c r="B1" t="s">
        <v>1470</v>
      </c>
      <c r="C1" t="s">
        <v>1446</v>
      </c>
    </row>
    <row r="2" spans="1:3" x14ac:dyDescent="0.3">
      <c r="A2" s="8" t="s">
        <v>80</v>
      </c>
      <c r="B2">
        <v>79</v>
      </c>
      <c r="C2">
        <v>9458924</v>
      </c>
    </row>
    <row r="3" spans="1:3" x14ac:dyDescent="0.3">
      <c r="A3" s="8" t="s">
        <v>70</v>
      </c>
      <c r="B3">
        <v>101</v>
      </c>
      <c r="C3">
        <v>12341619</v>
      </c>
    </row>
    <row r="4" spans="1:3" x14ac:dyDescent="0.3">
      <c r="A4" s="8" t="s">
        <v>23</v>
      </c>
      <c r="B4">
        <v>102</v>
      </c>
      <c r="C4">
        <v>9709838</v>
      </c>
    </row>
    <row r="5" spans="1:3" x14ac:dyDescent="0.3">
      <c r="A5" s="8" t="s">
        <v>64</v>
      </c>
      <c r="B5">
        <v>103</v>
      </c>
      <c r="C5">
        <v>12525962</v>
      </c>
    </row>
    <row r="6" spans="1:3" x14ac:dyDescent="0.3">
      <c r="A6" s="8" t="s">
        <v>43</v>
      </c>
      <c r="B6">
        <v>107</v>
      </c>
      <c r="C6">
        <v>12615825</v>
      </c>
    </row>
    <row r="7" spans="1:3" x14ac:dyDescent="0.3">
      <c r="A7" s="8" t="s">
        <v>31</v>
      </c>
      <c r="B7">
        <v>92</v>
      </c>
      <c r="C7">
        <v>10615369</v>
      </c>
    </row>
    <row r="8" spans="1:3" x14ac:dyDescent="0.3">
      <c r="A8" s="8" t="s">
        <v>102</v>
      </c>
      <c r="B8">
        <v>95</v>
      </c>
      <c r="C8">
        <v>8659705</v>
      </c>
    </row>
    <row r="9" spans="1:3" x14ac:dyDescent="0.3">
      <c r="A9" s="8" t="s">
        <v>120</v>
      </c>
      <c r="B9">
        <v>94</v>
      </c>
      <c r="C9">
        <v>11442454</v>
      </c>
    </row>
    <row r="10" spans="1:3" x14ac:dyDescent="0.3">
      <c r="A10" s="8" t="s">
        <v>37</v>
      </c>
      <c r="B10">
        <v>118</v>
      </c>
      <c r="C10">
        <v>13638966</v>
      </c>
    </row>
    <row r="11" spans="1:3" x14ac:dyDescent="0.3">
      <c r="A11" s="8" t="s">
        <v>49</v>
      </c>
      <c r="B11">
        <v>109</v>
      </c>
      <c r="C11">
        <v>12100748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53191-593E-49BC-BFEE-F669B9829533}">
  <dimension ref="A1:AN64"/>
  <sheetViews>
    <sheetView showGridLines="0" tabSelected="1" zoomScale="70" zoomScaleNormal="70" workbookViewId="0">
      <selection activeCell="T2" sqref="T2"/>
    </sheetView>
  </sheetViews>
  <sheetFormatPr defaultRowHeight="14.4" x14ac:dyDescent="0.3"/>
  <sheetData>
    <row r="1" spans="1:40" ht="25.2" x14ac:dyDescent="0.5">
      <c r="A1" s="11"/>
      <c r="B1" s="11"/>
      <c r="C1" s="11"/>
      <c r="D1" s="11"/>
      <c r="E1" s="11"/>
      <c r="F1" s="11"/>
      <c r="G1" s="11"/>
      <c r="H1" s="11"/>
      <c r="I1" s="11"/>
      <c r="J1" s="21" t="s">
        <v>1472</v>
      </c>
      <c r="K1" s="21"/>
      <c r="L1" s="21"/>
      <c r="M1" s="21"/>
      <c r="N1" s="21"/>
      <c r="O1" s="21"/>
      <c r="P1" s="21"/>
      <c r="Q1" s="11"/>
      <c r="R1" s="11"/>
      <c r="S1" s="11"/>
      <c r="T1" s="11"/>
      <c r="U1" s="10" t="s">
        <v>1473</v>
      </c>
      <c r="V1" s="10"/>
      <c r="W1" s="10"/>
      <c r="X1" s="10"/>
      <c r="Y1" s="13"/>
      <c r="Z1" s="13"/>
      <c r="AA1" s="13"/>
      <c r="AB1" s="13"/>
      <c r="AC1" s="13"/>
      <c r="AD1" s="13"/>
      <c r="AE1" s="13"/>
      <c r="AF1" s="13"/>
      <c r="AG1" s="13"/>
      <c r="AH1" s="13"/>
    </row>
    <row r="2" spans="1:40" x14ac:dyDescent="0.3">
      <c r="A2" s="9"/>
      <c r="B2" s="9"/>
      <c r="C2" s="9"/>
      <c r="D2" s="9"/>
      <c r="E2" s="9"/>
      <c r="F2" s="9"/>
      <c r="G2" s="9"/>
      <c r="H2" s="9"/>
      <c r="I2" s="9"/>
      <c r="J2" s="22"/>
      <c r="K2" s="22"/>
      <c r="L2" s="22"/>
      <c r="M2" s="22"/>
      <c r="N2" s="22"/>
      <c r="O2" s="22"/>
      <c r="P2" s="22"/>
      <c r="Q2" s="9"/>
      <c r="R2" s="9"/>
      <c r="S2" s="9"/>
      <c r="T2" s="9" t="s">
        <v>1471</v>
      </c>
      <c r="U2" s="9"/>
      <c r="V2" s="9"/>
      <c r="W2" s="9"/>
      <c r="X2" s="9"/>
      <c r="Y2" s="9"/>
      <c r="Z2" s="9"/>
      <c r="AA2" s="9"/>
      <c r="AB2" s="9"/>
      <c r="AC2" s="9"/>
      <c r="AD2" s="9"/>
      <c r="AE2" s="9"/>
      <c r="AF2" s="9"/>
      <c r="AG2" s="9"/>
      <c r="AH2" s="9"/>
      <c r="AI2" s="9"/>
      <c r="AJ2" s="9"/>
      <c r="AK2" s="19"/>
      <c r="AL2" s="19"/>
      <c r="AM2" s="19"/>
      <c r="AN2" s="20"/>
    </row>
    <row r="3" spans="1:40"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19"/>
      <c r="AL3" s="19"/>
      <c r="AM3" s="19"/>
      <c r="AN3" s="20"/>
    </row>
    <row r="4" spans="1:40"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19"/>
      <c r="AL4" s="19"/>
      <c r="AM4" s="19"/>
      <c r="AN4" s="20"/>
    </row>
    <row r="5" spans="1:40"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19"/>
      <c r="AL5" s="19"/>
      <c r="AM5" s="19"/>
      <c r="AN5" s="20"/>
    </row>
    <row r="6" spans="1:40"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19"/>
      <c r="AL6" s="19"/>
      <c r="AM6" s="19"/>
      <c r="AN6" s="20"/>
    </row>
    <row r="7" spans="1:40"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19"/>
      <c r="AL7" s="19"/>
      <c r="AM7" s="19"/>
      <c r="AN7" s="20"/>
    </row>
    <row r="8" spans="1:40"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19"/>
      <c r="AL8" s="19"/>
      <c r="AM8" s="19"/>
      <c r="AN8" s="20"/>
    </row>
    <row r="9" spans="1:40"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19"/>
      <c r="AL9" s="19"/>
      <c r="AM9" s="19"/>
      <c r="AN9" s="20"/>
    </row>
    <row r="10" spans="1:40"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19"/>
      <c r="AL10" s="19"/>
      <c r="AM10" s="19"/>
      <c r="AN10" s="20"/>
    </row>
    <row r="11" spans="1:40"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19"/>
      <c r="AL11" s="19"/>
      <c r="AM11" s="19"/>
      <c r="AN11" s="20"/>
    </row>
    <row r="12" spans="1:40"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19"/>
      <c r="AL12" s="19"/>
      <c r="AM12" s="19"/>
      <c r="AN12" s="20"/>
    </row>
    <row r="13" spans="1:40"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19"/>
      <c r="AL13" s="19"/>
      <c r="AM13" s="19"/>
      <c r="AN13" s="20"/>
    </row>
    <row r="14" spans="1:40"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19"/>
      <c r="AL14" s="19"/>
      <c r="AM14" s="19"/>
      <c r="AN14" s="20"/>
    </row>
    <row r="15" spans="1:40"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19"/>
      <c r="AL15" s="19"/>
      <c r="AM15" s="19"/>
      <c r="AN15" s="20"/>
    </row>
    <row r="16" spans="1:40"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19"/>
      <c r="AL16" s="19"/>
      <c r="AM16" s="19"/>
      <c r="AN16" s="20"/>
    </row>
    <row r="17" spans="1:40"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19"/>
      <c r="AL17" s="19"/>
      <c r="AM17" s="19"/>
      <c r="AN17" s="20"/>
    </row>
    <row r="18" spans="1:40"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19"/>
      <c r="AL18" s="19"/>
      <c r="AM18" s="19"/>
      <c r="AN18" s="20"/>
    </row>
    <row r="19" spans="1:40"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19"/>
      <c r="AL19" s="19"/>
      <c r="AM19" s="19"/>
      <c r="AN19" s="20"/>
    </row>
    <row r="20" spans="1:40"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19"/>
      <c r="AL20" s="19"/>
      <c r="AM20" s="19"/>
      <c r="AN20" s="20"/>
    </row>
    <row r="21" spans="1:40"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19"/>
      <c r="AL21" s="19"/>
      <c r="AM21" s="19"/>
      <c r="AN21" s="20"/>
    </row>
    <row r="22" spans="1:40"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19"/>
      <c r="AL22" s="19"/>
      <c r="AM22" s="19"/>
      <c r="AN22" s="20"/>
    </row>
    <row r="23" spans="1:40"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19"/>
      <c r="AL23" s="19"/>
      <c r="AM23" s="19"/>
      <c r="AN23" s="20"/>
    </row>
    <row r="24" spans="1:40"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19"/>
      <c r="AL24" s="19"/>
      <c r="AM24" s="19"/>
      <c r="AN24" s="20"/>
    </row>
    <row r="25" spans="1:40"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19"/>
      <c r="AL25" s="19"/>
      <c r="AM25" s="19"/>
      <c r="AN25" s="20"/>
    </row>
    <row r="26" spans="1:40"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19"/>
      <c r="AL26" s="19"/>
      <c r="AM26" s="19"/>
      <c r="AN26" s="20"/>
    </row>
    <row r="27" spans="1:40"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19"/>
      <c r="AL27" s="19"/>
      <c r="AM27" s="19"/>
      <c r="AN27" s="20"/>
    </row>
    <row r="28" spans="1:40"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19"/>
      <c r="AL28" s="19"/>
      <c r="AM28" s="19"/>
      <c r="AN28" s="20"/>
    </row>
    <row r="29" spans="1:40"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19"/>
      <c r="AL29" s="19"/>
      <c r="AM29" s="19"/>
      <c r="AN29" s="20"/>
    </row>
    <row r="30" spans="1:40"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19"/>
      <c r="AL30" s="19"/>
      <c r="AM30" s="19"/>
      <c r="AN30" s="20"/>
    </row>
    <row r="31" spans="1:40"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19"/>
      <c r="AL31" s="19"/>
      <c r="AM31" s="19"/>
      <c r="AN31" s="20"/>
    </row>
    <row r="32" spans="1:40"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19"/>
      <c r="AL32" s="19"/>
      <c r="AM32" s="19"/>
      <c r="AN32" s="20"/>
    </row>
    <row r="33" spans="1:40"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19"/>
      <c r="AL33" s="19"/>
      <c r="AM33" s="19"/>
      <c r="AN33" s="20"/>
    </row>
    <row r="34" spans="1:40"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19"/>
      <c r="AL34" s="19"/>
      <c r="AM34" s="19"/>
      <c r="AN34" s="20"/>
    </row>
    <row r="35" spans="1:40"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19"/>
      <c r="AL35" s="19"/>
      <c r="AM35" s="19"/>
      <c r="AN35" s="20"/>
    </row>
    <row r="36" spans="1:40"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19"/>
      <c r="AL36" s="19"/>
      <c r="AM36" s="19"/>
      <c r="AN36" s="20"/>
    </row>
    <row r="37" spans="1:40" x14ac:dyDescent="0.3">
      <c r="A37" s="9"/>
      <c r="B37" s="9"/>
      <c r="C37" s="9"/>
      <c r="D37" s="9"/>
      <c r="E37" s="9"/>
      <c r="F37" s="9"/>
      <c r="G37" s="9"/>
      <c r="H37" s="9"/>
      <c r="I37" s="9"/>
      <c r="J37" s="9"/>
      <c r="K37" s="9"/>
      <c r="L37" s="9"/>
      <c r="M37" s="9"/>
      <c r="N37" s="9"/>
      <c r="O37" s="9"/>
      <c r="P37" s="9"/>
      <c r="Q37" s="9"/>
      <c r="R37" s="9"/>
      <c r="S37" s="9"/>
      <c r="T37" s="9"/>
      <c r="U37" s="9"/>
      <c r="V37" s="9"/>
      <c r="X37" s="9"/>
      <c r="Y37" s="9"/>
      <c r="Z37" s="9"/>
      <c r="AA37" s="9"/>
      <c r="AB37" s="9"/>
      <c r="AC37" s="9"/>
      <c r="AD37" s="9"/>
      <c r="AE37" s="9"/>
      <c r="AF37" s="9"/>
      <c r="AG37" s="9"/>
      <c r="AH37" s="9"/>
      <c r="AI37" s="9"/>
      <c r="AJ37" s="9"/>
      <c r="AK37" s="19"/>
      <c r="AL37" s="19"/>
      <c r="AM37" s="19"/>
      <c r="AN37" s="20"/>
    </row>
    <row r="38" spans="1:40"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19"/>
      <c r="AL38" s="19"/>
      <c r="AM38" s="19"/>
    </row>
    <row r="39" spans="1:40"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19"/>
      <c r="AL39" s="19"/>
      <c r="AM39" s="19"/>
    </row>
    <row r="40" spans="1:40"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spans="1:40"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spans="1:40"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40"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40"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spans="1:40"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40"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row>
    <row r="47" spans="1:40"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row>
    <row r="48" spans="1:40"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spans="1:30"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row>
    <row r="51" spans="1:30"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row>
    <row r="52" spans="1:30"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row>
    <row r="53" spans="1:30"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0"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row>
    <row r="59" spans="1:30"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row>
    <row r="60" spans="1:30"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row>
    <row r="61" spans="1:30"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row>
    <row r="62" spans="1:30"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sheetData>
  <phoneticPr fontId="3"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kps store data</vt:lpstr>
      <vt:lpstr>T.s(month.and prd.cat)</vt:lpstr>
      <vt:lpstr>men vs women</vt:lpstr>
      <vt:lpstr>order vs sales</vt:lpstr>
      <vt:lpstr>Age and gender</vt:lpstr>
      <vt:lpstr>sales trends over months</vt:lpstr>
      <vt:lpstr>del.days&amp; cust.rating</vt:lpstr>
      <vt:lpstr>top 5 prod</vt:lpstr>
      <vt:lpstr>delivery  days vs rating</vt:lpstr>
      <vt:lpstr>city &amp; products</vt:lpstr>
      <vt:lpstr>annual report 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Nivesh choudhary</dc:creator>
  <cp:keywords/>
  <dc:description/>
  <cp:lastModifiedBy>Madhusudan Sharma</cp:lastModifiedBy>
  <cp:revision/>
  <dcterms:created xsi:type="dcterms:W3CDTF">2025-08-13T05:22:39Z</dcterms:created>
  <dcterms:modified xsi:type="dcterms:W3CDTF">2026-01-30T12:31:48Z</dcterms:modified>
  <cp:category/>
  <cp:contentStatus/>
</cp:coreProperties>
</file>